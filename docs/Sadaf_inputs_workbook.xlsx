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adi\Desktop\AI APP 2026\sadaf-360\docs\"/>
    </mc:Choice>
  </mc:AlternateContent>
  <xr:revisionPtr revIDLastSave="0" documentId="13_ncr:1_{2BA4553B-0117-4B51-834E-F99FACFBCE88}" xr6:coauthVersionLast="47" xr6:coauthVersionMax="47" xr10:uidLastSave="{00000000-0000-0000-0000-000000000000}"/>
  <bookViews>
    <workbookView xWindow="-120" yWindow="-120" windowWidth="29040" windowHeight="15840" activeTab="9" xr2:uid="{00000000-000D-0000-FFFF-FFFF00000000}"/>
  </bookViews>
  <sheets>
    <sheet name="Start here" sheetId="1" r:id="rId1"/>
    <sheet name="Report map" sheetId="2" r:id="rId2"/>
    <sheet name="ERP requirements" sheetId="3" r:id="rId3"/>
    <sheet name="Imports and predictions" sheetId="10" r:id="rId4"/>
    <sheet name="Basic weekly" sheetId="4" r:id="rId5"/>
    <sheet name="Basic monthly" sheetId="5" r:id="rId6"/>
    <sheet name="Advanced weekly" sheetId="6" r:id="rId7"/>
    <sheet name="Advanced monthly" sheetId="7" r:id="rId8"/>
    <sheet name="Accounts" sheetId="8" r:id="rId9"/>
    <sheet name="Worked examples"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5" i="9" l="1"/>
  <c r="B154" i="9"/>
  <c r="C150" i="9"/>
  <c r="C151" i="9" s="1"/>
  <c r="C142" i="9"/>
  <c r="C141" i="9"/>
  <c r="C147" i="9" s="1"/>
  <c r="B141" i="9"/>
  <c r="B147" i="9" s="1"/>
  <c r="B122" i="9"/>
  <c r="C121" i="9"/>
  <c r="C124" i="9" s="1"/>
  <c r="B120" i="9"/>
  <c r="C117" i="9"/>
  <c r="C115" i="9"/>
  <c r="C114" i="9"/>
  <c r="C116" i="9" s="1"/>
  <c r="B114" i="9"/>
  <c r="B118" i="9" s="1"/>
  <c r="C113" i="9"/>
  <c r="C118" i="9" s="1"/>
  <c r="B113" i="9"/>
  <c r="C112" i="9"/>
  <c r="B112" i="9"/>
  <c r="B117" i="9" s="1"/>
  <c r="C111" i="9"/>
  <c r="C119" i="9" s="1"/>
  <c r="B111" i="9"/>
  <c r="B119" i="9" s="1"/>
  <c r="C110" i="9"/>
  <c r="B110" i="9"/>
  <c r="B121" i="9" s="1"/>
  <c r="C109" i="9"/>
  <c r="C122" i="9" s="1"/>
  <c r="B109" i="9"/>
  <c r="C100" i="9"/>
  <c r="C120" i="9" s="1"/>
  <c r="B100" i="9"/>
  <c r="C99" i="9"/>
  <c r="C98" i="9"/>
  <c r="C97" i="9"/>
  <c r="B130" i="9" s="1"/>
  <c r="B97" i="9"/>
  <c r="C133" i="9" s="1"/>
  <c r="C88" i="9"/>
  <c r="B88" i="9"/>
  <c r="C87" i="9"/>
  <c r="C82" i="9"/>
  <c r="B82" i="9"/>
  <c r="C80" i="9"/>
  <c r="C81" i="9" s="1"/>
  <c r="B80" i="9"/>
  <c r="B81" i="9" s="1"/>
  <c r="B84" i="9" s="1"/>
  <c r="C75" i="9"/>
  <c r="B75" i="9"/>
  <c r="C73" i="9"/>
  <c r="B73" i="9"/>
  <c r="C70" i="9"/>
  <c r="B70" i="9"/>
  <c r="C69" i="9"/>
  <c r="B69" i="9"/>
  <c r="C66" i="9"/>
  <c r="B66" i="9"/>
  <c r="C65" i="9"/>
  <c r="C67" i="9" s="1"/>
  <c r="B65" i="9"/>
  <c r="B67" i="9" s="1"/>
  <c r="C60" i="9"/>
  <c r="B60" i="9"/>
  <c r="C59" i="9"/>
  <c r="C61" i="9" s="1"/>
  <c r="B59" i="9"/>
  <c r="B142" i="9" s="1"/>
  <c r="C56" i="9"/>
  <c r="C62" i="9" s="1"/>
  <c r="B56" i="9"/>
  <c r="B62" i="9" s="1"/>
  <c r="C52" i="9"/>
  <c r="C53" i="9" s="1"/>
  <c r="B52" i="9"/>
  <c r="B53" i="9" s="1"/>
  <c r="C50" i="9"/>
  <c r="C51" i="9" s="1"/>
  <c r="B50" i="9"/>
  <c r="B51" i="9" s="1"/>
  <c r="C49" i="9"/>
  <c r="B49" i="9"/>
  <c r="C48" i="9"/>
  <c r="B48" i="9"/>
  <c r="C46" i="9"/>
  <c r="C47" i="9" s="1"/>
  <c r="B46" i="9"/>
  <c r="B47" i="9" s="1"/>
  <c r="B107" i="9" s="1"/>
  <c r="B134" i="9" s="1"/>
  <c r="C45" i="9"/>
  <c r="B45" i="9"/>
  <c r="C44" i="9"/>
  <c r="B44" i="9"/>
  <c r="C42" i="9"/>
  <c r="C57" i="9" s="1"/>
  <c r="C58" i="9" s="1"/>
  <c r="B42" i="9"/>
  <c r="B57" i="9" s="1"/>
  <c r="B58" i="9" s="1"/>
  <c r="C41" i="9"/>
  <c r="B41" i="9"/>
  <c r="H127" i="8"/>
  <c r="H126" i="8"/>
  <c r="H125" i="8"/>
  <c r="H124" i="8"/>
  <c r="H123" i="8"/>
  <c r="H122" i="8"/>
  <c r="B156" i="9" s="1"/>
  <c r="G68" i="7"/>
  <c r="G67" i="7"/>
  <c r="G66" i="7"/>
  <c r="G65" i="7"/>
  <c r="G64" i="7"/>
  <c r="G63" i="7"/>
  <c r="B87" i="9" s="1"/>
  <c r="B30" i="1"/>
  <c r="B31" i="1" s="1"/>
  <c r="B28" i="1"/>
  <c r="B29" i="1" s="1"/>
  <c r="B146" i="9" l="1"/>
  <c r="B74" i="9"/>
  <c r="B72" i="9"/>
  <c r="B123" i="9" s="1"/>
  <c r="B68" i="9"/>
  <c r="B71" i="9" s="1"/>
  <c r="B76" i="9" s="1"/>
  <c r="B77" i="9" s="1"/>
  <c r="C74" i="9"/>
  <c r="C72" i="9"/>
  <c r="C68" i="9"/>
  <c r="C71" i="9" s="1"/>
  <c r="C76" i="9" s="1"/>
  <c r="C77" i="9" s="1"/>
  <c r="B136" i="9"/>
  <c r="C143" i="9"/>
  <c r="C146" i="9" s="1"/>
  <c r="C145" i="9"/>
  <c r="C148" i="9" s="1"/>
  <c r="C149" i="9" s="1"/>
  <c r="B129" i="9"/>
  <c r="B133" i="9"/>
  <c r="C144" i="9"/>
  <c r="B106" i="9"/>
  <c r="B124" i="9" s="1"/>
  <c r="B43" i="9"/>
  <c r="B61" i="9"/>
  <c r="B128" i="9"/>
  <c r="C43" i="9"/>
  <c r="B115" i="9"/>
  <c r="C128" i="9"/>
  <c r="C130" i="9"/>
  <c r="C132" i="9" s="1"/>
  <c r="C134" i="9"/>
  <c r="B150" i="9"/>
  <c r="B151" i="9" s="1"/>
  <c r="B116" i="9"/>
  <c r="C129" i="9"/>
  <c r="B143" i="9"/>
  <c r="B144" i="9" s="1"/>
  <c r="B145" i="9"/>
  <c r="B148" i="9" s="1"/>
  <c r="B149" i="9" s="1"/>
  <c r="C135" i="9" l="1"/>
  <c r="C131" i="9"/>
  <c r="C136" i="9"/>
  <c r="B137" i="9"/>
  <c r="B135" i="9"/>
  <c r="B131" i="9"/>
  <c r="B132" i="9"/>
</calcChain>
</file>

<file path=xl/sharedStrings.xml><?xml version="1.0" encoding="utf-8"?>
<sst xmlns="http://schemas.openxmlformats.org/spreadsheetml/2006/main" count="984" uniqueCount="787">
  <si>
    <t>Sadaf Medical: data needed for useful reports</t>
  </si>
  <si>
    <t>A report-led input plan for Basic and Advanced. All submissions are weekly or monthly.</t>
  </si>
  <si>
    <t>Topic</t>
  </si>
  <si>
    <t>How to use this workbook</t>
  </si>
  <si>
    <t>Basic version</t>
  </si>
  <si>
    <t>Use ERP E01–E07, Basic weekly and Basic monthly. BW2 and BM2 are gap-only inputs; targets are optional for actuals reporting.</t>
  </si>
  <si>
    <t>Advanced version</t>
  </si>
  <si>
    <t>Use all Basic data plus E08–E09 and the Advanced tabs. E10–E13 can replace manual operational records when those exports exist.</t>
  </si>
  <si>
    <t>Weekly pack</t>
  </si>
  <si>
    <t>Refresh dated sales, receipts, unpaid balances and stock. Review BW1/BW2. Advanced also reviews AW1/AW2 and delivery exports.</t>
  </si>
  <si>
    <t>Monthly pack</t>
  </si>
  <si>
    <t>Close the previous month, reconcile to Alpha, confirm targets/settings, and review equipment, customer usage, costs and department results.</t>
  </si>
  <si>
    <t>Keep the work small</t>
  </si>
  <si>
    <t>Update existing records and unchanged settings only where needed. Fill a manual field only when it cannot be supplied reliably by an existing system.</t>
  </si>
  <si>
    <t>First monthly cycle</t>
  </si>
  <si>
    <t>Confirm ERP availability in the last two columns of ERP requirements. Load the historical baseline and current equipment/agreements in one starting pack.</t>
  </si>
  <si>
    <t>Required by the report</t>
  </si>
  <si>
    <t>Report map shows the exact ERP and manual inputs for every insight. Missing data leaves that insight unavailable; it must not become a guessed number.</t>
  </si>
  <si>
    <t>Colors and examples</t>
  </si>
  <si>
    <t>Blue rows are demo examples. Clear their contents before real use. Yellow cells are manual inputs; grey cells are conditional inputs or calculated outputs.</t>
  </si>
  <si>
    <t>Dates and units</t>
  </si>
  <si>
    <t>Keep original transaction, due, installation and expiry dates even though submission is weekly/monthly. Amounts are JOD; normalize pack sizes before comparing quantities.</t>
  </si>
  <si>
    <t>Prevent duplicates</t>
  </si>
  <si>
    <t>Transactions need stable IDs. Replace dated balance/stock snapshots rather than adding them together. Extra costs must not duplicate Alpha or product cost.</t>
  </si>
  <si>
    <t>Weekly / monthly alignment</t>
  </si>
  <si>
    <t>Use the latest complete month for activity, capacity and purchase-gap comparisons. Label its month on the weekly dashboard; do not compare a weekly purchase total with monthly demand.</t>
  </si>
  <si>
    <t>Cash and profit</t>
  </si>
  <si>
    <t>Receipts are not sales; unpaid balances are not losses. Profit after direct costs excludes general company costs, tax and finance costs.</t>
  </si>
  <si>
    <t>What the current demo does</t>
  </si>
  <si>
    <t>There are two sites. The demo site shows fixed synthetic data and does not load this workbook. The main app lets the company owner import CSV exports of E01–E07 and the installed-equipment list on its Import data page (see sheet 'Imports and predictions'). The Overview, Finance, Inventory, Management actions and Weekly summary screens read the imported data.</t>
  </si>
  <si>
    <t>What must be implemented</t>
  </si>
  <si>
    <t>Connect the confirmed Alpha exports and these manual tables, calculate the reports, and reconcile totals. The CSV importer, the report screens that use imported data and the estimate calculations are built; XLSX upload, the manual-table forms and the portfolio-growth view are still to build. This workbook is the data checklist and entry guide.</t>
  </si>
  <si>
    <t>Review basis</t>
  </si>
  <si>
    <t>Sadaf dashboard publication 4 and saved HTML version 5, reviewed 08-Oct-2026. No installed Alpha version or real export has yet been inspected. Account views (tender versus private) added in workbook v6, 09-Oct-2026.</t>
  </si>
  <si>
    <t>Dashboard</t>
  </si>
  <si>
    <t>https://sadaf-medical-portfolio-demo.obeidatshadi.chatgpt.site</t>
  </si>
  <si>
    <t>Worked examples</t>
  </si>
  <si>
    <t>Two fictional customer/project cases show arithmetic and data links. They demonstrate the logic; they are not complete Sadaf reports or an ERP connection.</t>
  </si>
  <si>
    <t>Design</t>
  </si>
  <si>
    <t>Shadi Obeidat</t>
  </si>
  <si>
    <t>Accounts update (v6)</t>
  </si>
  <si>
    <t>New sheet 'Accounts' (AM6 account master, AM7 targets and last year, AW3 tender detail, AM8 tender results) feeds the Tender accounts and Private accounts views under Sales and accounts. Worked examples rows 95 onward show every new calculation. ERP requirements E02, E03 and E05 gained fields.</t>
  </si>
  <si>
    <t>Basic ERP datasets confirmed</t>
  </si>
  <si>
    <t>Basic ERP datasets to verify</t>
  </si>
  <si>
    <t>Advanced accounting datasets confirmed</t>
  </si>
  <si>
    <t>Advanced accounting datasets to verify</t>
  </si>
  <si>
    <t>Available means all listed fields are verified in an export. Partial, Other system and manual completion still need a field-level check.</t>
  </si>
  <si>
    <t>These counts track export verification only. They do not certify report accuracy, integration or manual-data completion.</t>
  </si>
  <si>
    <t>Data required for each insight</t>
  </si>
  <si>
    <t>Each row states the minimum source data, the manual addition and what must remain unavailable when data is missing.</t>
  </si>
  <si>
    <t>Weekly reporting uses the latest dated ERP snapshot. Monthly equipment and department measures use the latest completed month, clearly labelled.</t>
  </si>
  <si>
    <t>Report ID</t>
  </si>
  <si>
    <t>Version</t>
  </si>
  <si>
    <t>Insight / report</t>
  </si>
  <si>
    <t>ERP inputs</t>
  </si>
  <si>
    <t>Manual inputs</t>
  </si>
  <si>
    <t>Report refresh</t>
  </si>
  <si>
    <t>Calculation / interpretation</t>
  </si>
  <si>
    <t>If required data is missing</t>
  </si>
  <si>
    <t>B01</t>
  </si>
  <si>
    <t>Both</t>
  </si>
  <si>
    <t>Sales, gross profit and business mix</t>
  </si>
  <si>
    <t>E01 + E02 + E03</t>
  </si>
  <si>
    <t>BM2 only for missing category/unit links</t>
  </si>
  <si>
    <t>Weekly</t>
  </si>
  <si>
    <t>Net sales less product cost; gross margin = gross profit / sales. Returns use the agreed sign convention.</t>
  </si>
  <si>
    <t>Without product costs, show sales only; margin is unavailable.</t>
  </si>
  <si>
    <t>B02</t>
  </si>
  <si>
    <t>Cash collected and overdue balances</t>
  </si>
  <si>
    <t>E02 + E04 + E05</t>
  </si>
  <si>
    <t>BW1: promised amounts/dates, owner and next action</t>
  </si>
  <si>
    <t>Sum receipts by receipt date. Age remaining invoices from contractual due date at the snapshot date.</t>
  </si>
  <si>
    <t>No receipts = no cash-collected figure. Unallocated cash stays separate; no cash/revenue conversion ratio.</t>
  </si>
  <si>
    <t>B03</t>
  </si>
  <si>
    <t>Stock value by product and batch</t>
  </si>
  <si>
    <t>E01 + E06</t>
  </si>
  <si>
    <t>BW2 only for missing batch/location/quantity fields</t>
  </si>
  <si>
    <t>Owned stock quantity x unit cost at one snapshot date. Use one counting unit.</t>
  </si>
  <si>
    <t>Missing batch or cost prevents the corresponding batch value; do not add snapshots together.</t>
  </si>
  <si>
    <t>B04</t>
  </si>
  <si>
    <t>Expiry, slow stock and reorder flags</t>
  </si>
  <si>
    <t>E01 + E06 + E07</t>
  </si>
  <si>
    <t>BW2: missing expiry; BM2: lead time, safety buffer and alert rules</t>
  </si>
  <si>
    <t>Stock days = quantity / daily issues. Forecast expiry by allocating demand to earliest-expiring batches first.</t>
  </si>
  <si>
    <t>No expiry = no expiry estimate. No demand baseline = stock value only. Loss estimates and slow stock overlap.</t>
  </si>
  <si>
    <t>B05</t>
  </si>
  <si>
    <t>Management actions and promises</t>
  </si>
  <si>
    <t>E02 + E05 for customer and balance links</t>
  </si>
  <si>
    <t>BW1: action, owner, due date, status and promise details</t>
  </si>
  <si>
    <t>Open actions and due dates; confirm promised receipts in E04 before marking a collection complete.</t>
  </si>
  <si>
    <t>An action marked complete does not establish recovered sales or savings.</t>
  </si>
  <si>
    <t>B06</t>
  </si>
  <si>
    <t>Targets versus results (useful addition)</t>
  </si>
  <si>
    <t>E01 + E03 + E04</t>
  </si>
  <si>
    <t>BM1: category/company sales, margin and cash targets</t>
  </si>
  <si>
    <t>Monthly</t>
  </si>
  <si>
    <t>Compare the same month and category. Do not combine an All-company target with its category targets.</t>
  </si>
  <si>
    <t>Targets are optional. This comparison is a proposed addition, not a live calculation in the current demo.</t>
  </si>
  <si>
    <t>A01</t>
  </si>
  <si>
    <t>Advanced</t>
  </si>
  <si>
    <t>Profit after delivery / project costs</t>
  </si>
  <si>
    <t>E03 + E09; E01 for category</t>
  </si>
  <si>
    <t>AM4: only missing costs or assignments</t>
  </si>
  <si>
    <t>Net sales - product cost - assigned actual direct costs not already in product cost. Estimates remain separate.</t>
  </si>
  <si>
    <t>Incomplete costs mean incomplete contribution. This is not company net profit or a cash forecast.</t>
  </si>
  <si>
    <t>A02</t>
  </si>
  <si>
    <t>Tender stages, deadlines and planned profit</t>
  </si>
  <si>
    <t>E10 when available; E03/E05 once invoiced</t>
  </si>
  <si>
    <t>AW1: scope, stage, value, full cost estimate and next event</t>
  </si>
  <si>
    <t>Planned profit = tender value - full planned direct cost. Weighted margin = total planned profit / total value.</t>
  </si>
  <si>
    <t>A won tender is not recorded revenue. Missing full cost means planned profit is unavailable.</t>
  </si>
  <si>
    <t>A03</t>
  </si>
  <si>
    <t>Installed units, warranties and agreements</t>
  </si>
  <si>
    <t>E01 + E02 + E11 when available</t>
  </si>
  <si>
    <t>AM1: unit status, installation, warranty and agreement dates</t>
  </si>
  <si>
    <t>Count active units once. Coverage includes contracts active at report date, including those due for renewal.</t>
  </si>
  <si>
    <t>Unknown contract status is not No contract. Missing installation date prevents an age-review flag.</t>
  </si>
  <si>
    <t>A04</t>
  </si>
  <si>
    <t>Repeat consumable purchases and purchasing gap</t>
  </si>
  <si>
    <t>E03 + E01 + E02</t>
  </si>
  <si>
    <t>AM1 + AM2 + AM3: unit links, approved usage rule, activity, stock and source</t>
  </si>
  <si>
    <t>Estimated quantity = activity x consumables/activity. Compare purchases in the same period, unit and price basis.</t>
  </si>
  <si>
    <t>Allocate each sale once. Without unit attribution, report customer totals or clearly labelled allocations; retain unclassified sales.</t>
  </si>
  <si>
    <t>A05</t>
  </si>
  <si>
    <t>Equipment-use rate</t>
  </si>
  <si>
    <t>E11 if measured in an operating system</t>
  </si>
  <si>
    <t>AM3: activity count and practical capacity in the same unit; AM2 activity definition</t>
  </si>
  <si>
    <t>Equipment use = actual activity / practical capacity for the same month. Count each unit once if it uses several consumables.</t>
  </si>
  <si>
    <t>No denominator = no utilization %. Equipment use is not uptime.</t>
  </si>
  <si>
    <t>A06</t>
  </si>
  <si>
    <t>Delivery reliability and urgent freight</t>
  </si>
  <si>
    <t>E08 + E09</t>
  </si>
  <si>
    <t>AW2 only for delivery gaps; AM4 for missing urgent freight</t>
  </si>
  <si>
    <t>On-time % = fully completed on/before promise / all deliveries due in month, including overdue open items. Inbound and outbound stay separate.</t>
  </si>
  <si>
    <t>Exception-only records understate the denominator. Stock backorders are distinct from late delivery counts.</t>
  </si>
  <si>
    <t>A07</t>
  </si>
  <si>
    <t>Support response, document quality and vacancies</t>
  </si>
  <si>
    <t>E12 + E13 if available</t>
  </si>
  <si>
    <t>AM5: confirmed numerator/denominator or vacancy days, target and evidence</t>
  </si>
  <si>
    <t>Response % uses cases opened in month; document % uses first reviews in month. Vacancy measure is oldest critical open-role age at month end.</t>
  </si>
  <si>
    <t>Use counts and a defined period, not an unsupported percentage. Keep response-time and working-hours definitions consistent.</t>
  </si>
  <si>
    <t>A08</t>
  </si>
  <si>
    <t>Growth signals and repeat-order scenario</t>
  </si>
  <si>
    <t>Inputs for A03 + A04; E10 for confirmed opportunities</t>
  </si>
  <si>
    <t>BM2: recovery share, contribution margin, renewal window and age-review threshold</t>
  </si>
  <si>
    <t>Positive monthly gap x assumed share won x 12; extra profit = extra sales x assumed margin after direct costs.</t>
  </si>
  <si>
    <t>Gap, service and age signals are investigations, not confirmed sales. Do not add overlapping signals or promise replacement needs.</t>
  </si>
  <si>
    <t>R01</t>
  </si>
  <si>
    <t>Product / supplier reference and company profile</t>
  </si>
  <si>
    <t>E01 plus the approved company profile</t>
  </si>
  <si>
    <t>BM2 only for missing master fields or current supplier-status confirmation</t>
  </si>
  <si>
    <t>Use a maintained product/supplier list. The supplied 2022 company profile is historical context.</t>
  </si>
  <si>
    <t>A historical supplier name does not confirm the current relationship. No recurring financial input is needed for static profile text.</t>
  </si>
  <si>
    <t>B07</t>
  </si>
  <si>
    <t>Tender versus private accounts: sales, gross profit, margin, receivables</t>
  </si>
  <si>
    <t>E02 (segment) + E03 + E04 + E05</t>
  </si>
  <si>
    <t>AM6 only for missing segment, terms or credit limit</t>
  </si>
  <si>
    <t>Group customers by segment. Segment sales, gross profit and receivables are sums of the accounts in it; margin = gross profit / sales of the group (never an average of account margins). Tender plus Private must equal the company total.</t>
  </si>
  <si>
    <t>No segment on a customer: show it as Unassigned and list it. Never guess a segment.</t>
  </si>
  <si>
    <t>A09</t>
  </si>
  <si>
    <t>Account list: year-to-date gross profit, growth, target, credit use</t>
  </si>
  <si>
    <t>E02 + E03 (this year and last year) + E05</t>
  </si>
  <si>
    <t>AM6 (terms, limit), AM7 (target, prior year if E03 history is missing)</t>
  </si>
  <si>
    <t>Gross profit = net sales - product cost. Growth = this year / last year - 1 for the same months. Target attainment = sales of the SAME customer and month / target. Credit use = outstanding / credit limit. Days sales outstanding = outstanding / sales x days in period.</t>
  </si>
  <si>
    <t>No prior year: growth unavailable. No target: no attainment. No credit limit: credit use unavailable. Never show zero for a missing base.</t>
  </si>
  <si>
    <t>A10</t>
  </si>
  <si>
    <t>Account health status (At risk / Watch / Healthy) with reasons</t>
  </si>
  <si>
    <t>E03 + E05 + A04 capture where units exist</t>
  </si>
  <si>
    <t>AM6, AM7, AW1/AW3 for tender deadlines</t>
  </si>
  <si>
    <t>At risk: any invoice over 90 days past due, or over 90% of credit limit used. Watch: any overdue balance, sales under 85% of target or 10% below last year, recurring purchases under 70% of estimated demand, a Private account with no order for 45 days, or a tender in preparation due within 14 days.</t>
  </si>
  <si>
    <t>A rule whose data is missing is skipped and the status says so; it is never treated as passed.</t>
  </si>
  <si>
    <t>A11</t>
  </si>
  <si>
    <t>Tender status board, billing, guarantees and win rate</t>
  </si>
  <si>
    <t>AW1 + AW3 + AM8</t>
  </si>
  <si>
    <t>Pipeline = value of tenders Preparing or Submitted. Backlog = value x (1 - delivered %). Delivered not invoiced = value x delivered % - invoiced. Invoiced not collected = invoiced - collected (must equal the open E05 balance of that tender). Win rate = won / (won + lost). Guarantee days = expiry - snapshot date.</t>
  </si>
  <si>
    <t>A won tender is not revenue. Without delivered % the backlog is unavailable. Without AM8 or closed tenders in AW1 the win rate is unavailable.</t>
  </si>
  <si>
    <t>What Alpha ERP should provide</t>
  </si>
  <si>
    <t>The accountant checks actual export availability. These are required business fields, not verified native Alpha column names.</t>
  </si>
  <si>
    <t>Edit only the last two columns. E01–E07 support Basic; E08–E09 add Advanced accounting data. E10–E13 are optional import routes.</t>
  </si>
  <si>
    <t>ID</t>
  </si>
  <si>
    <t>Data file / report</t>
  </si>
  <si>
    <t>Minimum fields needed</t>
  </si>
  <si>
    <t>Refresh</t>
  </si>
  <si>
    <t>Responsible role</t>
  </si>
  <si>
    <t>Availability</t>
  </si>
  <si>
    <t>Alpha report name / missing fields</t>
  </si>
  <si>
    <t>E01</t>
  </si>
  <si>
    <t>Product and supplier list</t>
  </si>
  <si>
    <t>Product code; product name; category (Equipment / Devices / Consumables); therapeutic area (optional, for example Respiratory or Critical care; used by the portfolio-growth view); manufacturer; supplier code/name; counting unit; pack conversion; expiry tracked Yes/No.</t>
  </si>
  <si>
    <t>Accountant + product manager</t>
  </si>
  <si>
    <t>Not checked</t>
  </si>
  <si>
    <t>E02</t>
  </si>
  <si>
    <t>Customer list</t>
  </si>
  <si>
    <t>Customer code/name; city; customer type; payment terms; account owner. Stable codes must match invoices and equipment. Add: customer segment or category that identifies public-sector tender customers; credit limit.</t>
  </si>
  <si>
    <t>Accountant + sales manager</t>
  </si>
  <si>
    <t>E03</t>
  </si>
  <si>
    <t>Sales and returns</t>
  </si>
  <si>
    <t>Invoice and line IDs; date/type; customer; product; signed quantity, net sales and product cost JOD excluding tax. Project/order link is required for project profit; unit link when available. Keep returns/credits. Also export the same lines for the same months of the previous year (growth against last year). Add the contractual due date of each invoice where the ERP has it: it is needed to measure how late each customer pays, and E05 carries it only while the invoice is unpaid.</t>
  </si>
  <si>
    <t>Accountant</t>
  </si>
  <si>
    <t>E04</t>
  </si>
  <si>
    <t>Customer receipts</t>
  </si>
  <si>
    <t>Receipt ID; allocation row ID; receipt date; customer; invoice/line link where available; allocated JOD. Include unapplied cash once. Allocation rows must add to the receipt total. Link each allocation to its invoice wherever possible: without the link, payment lateness cannot be measured.</t>
  </si>
  <si>
    <t>E05</t>
  </si>
  <si>
    <t>Unpaid invoices</t>
  </si>
  <si>
    <t>Snapshot date; invoice ID; customer; invoice date; contractual due date; remaining amount JOD; account owner. Replace a snapshot, do not add successive balances. Keep the contractual due date for tender invoices; payment terms of 90 days or more are normal for public bodies.</t>
  </si>
  <si>
    <t>E06</t>
  </si>
  <si>
    <t>Stock by batch</t>
  </si>
  <si>
    <t>Snapshot date; product; warehouse; batch; quantity; counting unit; unit cost; expiry date; ownership. Exclude or separately value stock not owned by Sadaf.</t>
  </si>
  <si>
    <t>Warehouse + accountant</t>
  </si>
  <si>
    <t>E07</t>
  </si>
  <si>
    <t>Stock transaction history</t>
  </si>
  <si>
    <t>Unique transaction ID; date; product/batch/warehouse; transaction type; signed quantity; counting unit. Separate customer issues, returns, transfers and adjustments.</t>
  </si>
  <si>
    <t>E08</t>
  </si>
  <si>
    <t>Supplier and customer deliveries</t>
  </si>
  <si>
    <t>Delivery/PO line ID; inbound/outbound; supplier/customer; product/category; promised completion date; actual full completion date; outstanding quantity; status; snapshot date. Keep overdue open deliveries.</t>
  </si>
  <si>
    <t>Purchasing + logistics</t>
  </si>
  <si>
    <t>E09</t>
  </si>
  <si>
    <t>Direct project costs</t>
  </si>
  <si>
    <t>Unique cost line/reference; date; project/order; product category; cost type; amount JOD; Actual or Estimate; whether already included in product cost. Identify urgent freight.</t>
  </si>
  <si>
    <t>E10</t>
  </si>
  <si>
    <t>Quotes / tenders if recorded</t>
  </si>
  <si>
    <t>Optional ERP/CRM route: supply the same fields as AW1. If unavailable, the commercial team maintains AW1 manually.</t>
  </si>
  <si>
    <t>Sales + tender team</t>
  </si>
  <si>
    <t>E11</t>
  </si>
  <si>
    <t>Equipment / agreements if recorded</t>
  </si>
  <si>
    <t>Optional ERP/service-system route: supply the AM1 unit, installation, warranty and agreement fields. Otherwise maintain AM1 manually.</t>
  </si>
  <si>
    <t>Service manager</t>
  </si>
  <si>
    <t>E12</t>
  </si>
  <si>
    <t>Support cases if recorded</t>
  </si>
  <si>
    <t>Optional route: case ID; opened/first response/closed times; response-time target; calendar or business-hour rule. Calculate AM5 counts from the source instead of retyping them.</t>
  </si>
  <si>
    <t>E13</t>
  </si>
  <si>
    <t>HR / document checks if recorded</t>
  </si>
  <si>
    <t>Optional route: critical vacancy opened/filled dates and critical flag; tender review ID/date and complete-at-first-review result. Otherwise submit confirmed monthly AM5 totals.</t>
  </si>
  <si>
    <t>HR + tender manager</t>
  </si>
  <si>
    <t>Partial or Unavailable: identify the exact missing fields. Use a manual table only for those gaps. Do not recreate the entire ERP dataset.</t>
  </si>
  <si>
    <t>Receipt totals are essential for cash collected. Invoice totals and unpaid balances cannot replace a receipts ledger.</t>
  </si>
  <si>
    <t>Category-level cash requires invoice-line allocation or an agreed allocation rule. Show unallocated cash separately.</t>
  </si>
  <si>
    <t>First monthly cycle: retain current-year history and at least three complete months of stock issues for a simple demand baseline.</t>
  </si>
  <si>
    <t>Weekly updates keep original transaction dates and unique IDs. Monthly review reconciles sales, costs, cash, balances and stock to Alpha.</t>
  </si>
  <si>
    <t>E08 fallback: use AW2 for every delivery due in the month when the ERP list is absent. A list of delays alone cannot give an on-time percentage.</t>
  </si>
  <si>
    <t>Importing data and the estimate features (v7)</t>
  </si>
  <si>
    <t>How the app loads the Alpha exports, and the data the new estimate features need.</t>
  </si>
  <si>
    <t>Header names are assumptions until a real Alpha export is checked. Estimates are labelled ESTIMATED and are never shown as facts.</t>
  </si>
  <si>
    <t>1. How importing works</t>
  </si>
  <si>
    <t>Rule</t>
  </si>
  <si>
    <t>Who and where</t>
  </si>
  <si>
    <t>The company owner uploads CSV files on the Import data page of the app: UTF-8, one file per type, up to 4.5 MB. Split large sales exports by month. In Excel use Save As, CSV UTF-8.</t>
  </si>
  <si>
    <t>Order</t>
  </si>
  <si>
    <t>Import E01 products and E02 customers first, then E03 sales, E04 receipts, E05 unpaid invoices, E06 stock, E07 stock transactions and installed equipment. Later files point at product and customer codes that must already exist. A row with an unknown code is rejected; it is never created.</t>
  </si>
  <si>
    <t>Check first</t>
  </si>
  <si>
    <t>Use Check file before Import. It validates every row and shows totals (net sales, cash received, outstanding by age, stock value) to compare with Alpha, and saves nothing.</t>
  </si>
  <si>
    <t>No double counting</t>
  </si>
  <si>
    <t>The same file cannot be imported twice. A changed file updates rows by their ERP IDs (invoice + line, receipt + allocation row, transaction ID, product / customer / unit codes); it never duplicates them.</t>
  </si>
  <si>
    <t>Snapshot files</t>
  </si>
  <si>
    <t>Unpaid invoices (E05) and stock by batch (E06) are point-in-time. A file for a date replaces that date; other dates are kept and never added together. The file needs a snapshot date column, or the date is entered when uploading.</t>
  </si>
  <si>
    <t>Bad rows</t>
  </si>
  <si>
    <t>Good rows are saved and bad rows are listed with the row number and the reason (status Partial). Fix them in the file and import it again.</t>
  </si>
  <si>
    <t>Unknown stays unknown</t>
  </si>
  <si>
    <t>A blank due date, cost, segment, credit limit or payment term is kept as unknown, never as 0 or a default segment. An unrecognised customer segment is left unclassified with a warning. Public / government / tender wording is read as Tender.</t>
  </si>
  <si>
    <t>Dates and numbers</t>
  </si>
  <si>
    <t>Dates as YYYY-MM-DD or day-first D/M/YYYY; month-first dates are not supported. Dates after the import day are rejected. Amounts are JOD with a decimal point; returns are negative; thousands separators are accepted. Arabic text and Arabic digits are accepted.</t>
  </si>
  <si>
    <t>Receipts</t>
  </si>
  <si>
    <t>If the file has a receipt total column, the allocation rows of a receipt must add up to it. An allocation to an invoice that is not in the imported invoices is kept once, as not linked to an invoice, with a warning.</t>
  </si>
  <si>
    <t>Column names</t>
  </si>
  <si>
    <t>The header names below are assumptions, not Alpha's real column names. Matching ignores case, spaces and punctuation and accepts common alternatives. They are adjusted once a real Alpha export is checked.</t>
  </si>
  <si>
    <t>2. Columns the importer reads (first name shown; other spellings are accepted)</t>
  </si>
  <si>
    <t>File type</t>
  </si>
  <si>
    <t>Required columns</t>
  </si>
  <si>
    <t>Optional columns</t>
  </si>
  <si>
    <t>Point in time?</t>
  </si>
  <si>
    <t>Product and supplier list (E01)</t>
  </si>
  <si>
    <t>product code, product name, category</t>
  </si>
  <si>
    <t>therapeutic area, manufacturer, supplier code, supplier name, unit, pack conversion, expiry tracked, active</t>
  </si>
  <si>
    <t>No</t>
  </si>
  <si>
    <t>Customer list (E02)</t>
  </si>
  <si>
    <t>customer code, customer name</t>
  </si>
  <si>
    <t>city, customer type, segment, payment terms, credit limit, account owner, active</t>
  </si>
  <si>
    <t>Sales and returns (E03)</t>
  </si>
  <si>
    <t>invoice no, line no, invoice date, customer code, product code, quantity, net sales</t>
  </si>
  <si>
    <t>due date, doc type, product cost, project, account owner</t>
  </si>
  <si>
    <t>Customer receipts (E04)</t>
  </si>
  <si>
    <t>receipt no, allocation row id, receipt date, customer code, allocated amount</t>
  </si>
  <si>
    <t>invoice no, receipt total</t>
  </si>
  <si>
    <t>Unpaid invoices (E05)</t>
  </si>
  <si>
    <t>invoice no, customer code, invoice date, remaining amount</t>
  </si>
  <si>
    <t>snapshot date, due date, account owner</t>
  </si>
  <si>
    <t>Yes: needs a snapshot date (column or upload form)</t>
  </si>
  <si>
    <t>Stock by batch (E06)</t>
  </si>
  <si>
    <t>product code, warehouse, quantity</t>
  </si>
  <si>
    <t>snapshot date, batch, unit cost, expiry date, owned</t>
  </si>
  <si>
    <t>Stock transactions (E07)</t>
  </si>
  <si>
    <t>transaction id, transaction date, product code, warehouse, transaction type, quantity</t>
  </si>
  <si>
    <t>batch</t>
  </si>
  <si>
    <t>Installed equipment (E11 or manual)</t>
  </si>
  <si>
    <t>unit code, customer code, unit name</t>
  </si>
  <si>
    <t>product code, installed on, warranty end, service, expected monthly consumables</t>
  </si>
  <si>
    <t>3. Estimate features (built, tested and shown on the Management actions screen; each is labelled ESTIMATED)</t>
  </si>
  <si>
    <t>Feature</t>
  </si>
  <si>
    <t>Question it answers</t>
  </si>
  <si>
    <t>Data needed</t>
  </si>
  <si>
    <t>Minimum history</t>
  </si>
  <si>
    <t>Shown as</t>
  </si>
  <si>
    <t>If data is missing</t>
  </si>
  <si>
    <t>Repurchase timing</t>
  </si>
  <si>
    <t>Which customers are due, overdue or lapsed on reordering?</t>
  </si>
  <si>
    <t>E03 order dates per customer.</t>
  </si>
  <si>
    <t>At least 4 distinct order dates per customer.</t>
  </si>
  <si>
    <t>ESTIMATED. Typical days between orders (median), expected next order date, level On cycle / Due soon / Overdue / Lapsed, and confidence Higher or Lower when the intervals vary a lot.</t>
  </si>
  <si>
    <t>'Not enough data'. Nothing is guessed. An order dated after the report date is treated as a bad import.</t>
  </si>
  <si>
    <t>Payment behaviour</t>
  </si>
  <si>
    <t>How late does each customer usually pay?</t>
  </si>
  <si>
    <t>Invoice due date (E03 due date or E05) and payment date (E04 receipt allocated to that invoice).</t>
  </si>
  <si>
    <t>At least 5 paid invoices per customer.</t>
  </si>
  <si>
    <t>ESTIMATED. Typical days late (median), a cautious figure that 80% of invoices stay within, and the share of invoices paid late.</t>
  </si>
  <si>
    <t>'Not enough data'. Invoices without a due date or without an invoice link on the receipt do not count.</t>
  </si>
  <si>
    <t>Cash forecast</t>
  </si>
  <si>
    <t>How much cash is likely in the next 30 / 60 / 90 days?</t>
  </si>
  <si>
    <t>E05 unpaid invoices plus each customer's payment behaviour.</t>
  </si>
  <si>
    <t>Customers with enough payment history (see above).</t>
  </si>
  <si>
    <t>ESTIMATED. Expected collections per window. Invoices already past their customer's typical payment day, invoices of customers without history, and invoices expected after 90 days are shown separately.</t>
  </si>
  <si>
    <t>Money that cannot be forecast is listed, not guessed. The parts always add up to the total outstanding.</t>
  </si>
  <si>
    <t>Opportunity ranking</t>
  </si>
  <si>
    <t>Which customers should the team call first?</t>
  </si>
  <si>
    <t>The signals above (for example overdue repurchase) and the consumables purchase gap, each with an estimated JOD value.</t>
  </si>
  <si>
    <t>Not applicable.</t>
  </si>
  <si>
    <t>ESTIMATED. One line per customer showing the largest signal; other signals on the same customer are named but not added.</t>
  </si>
  <si>
    <t>Only signals with a positive value are ranked. The total is not the sum of overlapping signals.</t>
  </si>
  <si>
    <t>4. History to load before the first use</t>
  </si>
  <si>
    <t>Minimum to start</t>
  </si>
  <si>
    <t>Load all available history, ideally 12 months: E03 sales with order dates and due dates, and E04 receipts linked to their invoices. Then keep adding E03, E04 and E05 weekly. A customer who orders monthly needs about 4 months of orders and 5 paid invoices before an estimate appears; until then the feature says 'Not enough data'.</t>
  </si>
  <si>
    <t>Basic: weekly manual inputs</t>
  </si>
  <si>
    <t>One weekly review. Enter only new or changed records and any fields missing from Alpha.</t>
  </si>
  <si>
    <t>Blue rows are fictional examples; clear them before real use. Yellow = manual entry. Grey = conditional fields.</t>
  </si>
  <si>
    <t>BW1. Actions and payment promises</t>
  </si>
  <si>
    <t>MANUAL. One row per action code. Update the same row weekly. Promise amount/date are used only for collection promises.</t>
  </si>
  <si>
    <t>Updated by: Accountant / sales owner. Review weekly; carry forward unchanged records.</t>
  </si>
  <si>
    <t>Review week ending</t>
  </si>
  <si>
    <t>Action code</t>
  </si>
  <si>
    <t>Customer / product / order code</t>
  </si>
  <si>
    <t>Next action</t>
  </si>
  <si>
    <t>Responsible person</t>
  </si>
  <si>
    <t>Action due date</t>
  </si>
  <si>
    <t>Status</t>
  </si>
  <si>
    <t>Promised amount (JOD)</t>
  </si>
  <si>
    <t>Promised payment date</t>
  </si>
  <si>
    <t>DEMO-ACT-A</t>
  </si>
  <si>
    <t>DEMO-C001</t>
  </si>
  <si>
    <t>Confirm promised payment against DEMO-T-A</t>
  </si>
  <si>
    <t>Demo Ahmad</t>
  </si>
  <si>
    <t>Open</t>
  </si>
  <si>
    <t>DEMO-ACT-B</t>
  </si>
  <si>
    <t>DEMO-C002</t>
  </si>
  <si>
    <t>Review circuit usage and next order</t>
  </si>
  <si>
    <t>Demo Lina</t>
  </si>
  <si>
    <t>In progress</t>
  </si>
  <si>
    <t>BW2. Missing stock and expiry fields</t>
  </si>
  <si>
    <t>MANUAL ONLY IF E06 IS INCOMPLETE. Match product + batch + location. Quantity is entered only when the batch quantity is missing.</t>
  </si>
  <si>
    <t>Updated by: Warehouse team. Review weekly; carry forward unchanged records.</t>
  </si>
  <si>
    <t>Week ending</t>
  </si>
  <si>
    <t>Product code</t>
  </si>
  <si>
    <t>Batch code</t>
  </si>
  <si>
    <t>Warehouse / location</t>
  </si>
  <si>
    <t>Batch quantity if missing</t>
  </si>
  <si>
    <t>Counting unit</t>
  </si>
  <si>
    <t>Expiry date</t>
  </si>
  <si>
    <t>Source / check reference</t>
  </si>
  <si>
    <t>DEMO-MED-ST10</t>
  </si>
  <si>
    <t>DEMO-LOT-A</t>
  </si>
  <si>
    <t>Amman demo warehouse</t>
  </si>
  <si>
    <t>piece</t>
  </si>
  <si>
    <t>DEMO-BATCH-A</t>
  </si>
  <si>
    <t>DEMO-VAP-HIGH</t>
  </si>
  <si>
    <t>DEMO-LOT-B</t>
  </si>
  <si>
    <t>DEMO-BATCH-B</t>
  </si>
  <si>
    <t>Basic: monthly manual inputs</t>
  </si>
  <si>
    <t>Confirm targets and missing reference details once a month. Stable settings are carried forward; do not retype them.</t>
  </si>
  <si>
    <t>Blue = demo examples. Only missing fields go here; the product/customer lists remain in Alpha.</t>
  </si>
  <si>
    <t>BM1. Monthly targets</t>
  </si>
  <si>
    <t>MANUAL MANAGEMENT PLAN. Optional for actuals-only reporting. Choose company-wide or category targets for a month, not both.</t>
  </si>
  <si>
    <t>Updated by: Management / finance. Review monthly; carry forward unchanged records.</t>
  </si>
  <si>
    <t>Month</t>
  </si>
  <si>
    <t>Category or All</t>
  </si>
  <si>
    <t>Sales target (JOD)</t>
  </si>
  <si>
    <t>Gross margin target</t>
  </si>
  <si>
    <t>Collection target (JOD)</t>
  </si>
  <si>
    <t>Equipment</t>
  </si>
  <si>
    <t>Devices</t>
  </si>
  <si>
    <t>BM2. Missing master fields and report assumptions</t>
  </si>
  <si>
    <t>MANUAL / GAP ONLY. One row per scope + field. Use All for company policy or an exact product/unit/customer code for a specific setting.</t>
  </si>
  <si>
    <t>Updated by: Product manager / finance. Review monthly; carry forward unchanged records.</t>
  </si>
  <si>
    <t>Reviewed month</t>
  </si>
  <si>
    <t>Scope / record code</t>
  </si>
  <si>
    <t>Field to maintain</t>
  </si>
  <si>
    <t>Confirmed value</t>
  </si>
  <si>
    <t>Source / approval reference</t>
  </si>
  <si>
    <t>Lead time days</t>
  </si>
  <si>
    <t>DEMO supplier lead-time confirmation</t>
  </si>
  <si>
    <t>All</t>
  </si>
  <si>
    <t>Expiry warning days</t>
  </si>
  <si>
    <t>DEMO management stock policy</t>
  </si>
  <si>
    <t>Required for the relevant insight: category/unit mapping; lead time and stock rules; renewal/age rules; recovery-share and margin assumptions.</t>
  </si>
  <si>
    <t>Percentage settings in BM2 use whole percentages, e.g. 40 means 40%. BM1 gross margin uses Excel percentage format, e.g. 25%.</t>
  </si>
  <si>
    <t>For stock with no consumption, show No recent use. Do not divide by zero or assume the stock is a confirmed loss.</t>
  </si>
  <si>
    <t>Advanced: weekly manual inputs</t>
  </si>
  <si>
    <t>Use Basic weekly too. Import the same operational data from Alpha/CRM when available; otherwise use these two registers.</t>
  </si>
  <si>
    <t>One weekly snapshot of open work. Retain original event dates. Blue rows are fictional examples.</t>
  </si>
  <si>
    <t>AW1. Quotes, tenders and next deadlines</t>
  </si>
  <si>
    <t>MANUAL IF E10 IS UNAVAILABLE. One total row per tender/quote. Mixed categories use Mixed; never repeat the full tender value for each product.</t>
  </si>
  <si>
    <t>Updated by: Sales / tender lead. Review weekly; carry forward unchanged records.</t>
  </si>
  <si>
    <t>Record code</t>
  </si>
  <si>
    <t>Record type</t>
  </si>
  <si>
    <t>Customer code</t>
  </si>
  <si>
    <t>Category</t>
  </si>
  <si>
    <t>Product / scope</t>
  </si>
  <si>
    <t>Stage</t>
  </si>
  <si>
    <t>Total value (JOD)</t>
  </si>
  <si>
    <t>Full planned cost (JOD)</t>
  </si>
  <si>
    <t>Next event / key issue</t>
  </si>
  <si>
    <t>Next event date</t>
  </si>
  <si>
    <t>DEMO-T-A</t>
  </si>
  <si>
    <t>Tender</t>
  </si>
  <si>
    <t>10 MEDIMA P300 pumps</t>
  </si>
  <si>
    <t>Delivered</t>
  </si>
  <si>
    <t>Collect promised balance</t>
  </si>
  <si>
    <t>DEMO-T-B</t>
  </si>
  <si>
    <t>2 Vapotherm Precision Flow systems</t>
  </si>
  <si>
    <t>Collect final balance</t>
  </si>
  <si>
    <t>AW2. Delivery records missing from Alpha</t>
  </si>
  <si>
    <t>MANUAL ONLY FOR E08 GAPS. If there is no ERP delivery list, include ALL deliveries due, not just late ones. Actual date is blank until fully completed.</t>
  </si>
  <si>
    <t>Updated by: Purchasing / logistics. Review weekly; carry forward unchanged records.</t>
  </si>
  <si>
    <t>Delivery / PO line code</t>
  </si>
  <si>
    <t>Direction</t>
  </si>
  <si>
    <t>Supplier / customer code</t>
  </si>
  <si>
    <t>Promised full-delivery date</t>
  </si>
  <si>
    <t>Actual full-delivery date</t>
  </si>
  <si>
    <t>Outstanding quantity</t>
  </si>
  <si>
    <t>Delay cause / source</t>
  </si>
  <si>
    <t>DEMO-DEL-A</t>
  </si>
  <si>
    <t>Outbound</t>
  </si>
  <si>
    <t>One day late; DEMO delivery note A</t>
  </si>
  <si>
    <t>DEMO-DEL-B</t>
  </si>
  <si>
    <t>On time; DEMO delivery note B</t>
  </si>
  <si>
    <t>Full planned cost includes product purchasing, freight, installation, training and expected warranty cost. Leave it blank until that estimate is complete.</t>
  </si>
  <si>
    <t>A deadline can fall between weekly submissions. The report shows the last submitted state and is not a live operational alert service.</t>
  </si>
  <si>
    <t>Advanced: monthly manual inputs</t>
  </si>
  <si>
    <t>Use Basic monthly too. Update stable equipment/rule records only where they changed; enter monthly activity and confirmed results.</t>
  </si>
  <si>
    <t>Do not enter rows already supplied by an ERP, service or HR export. Blue rows are illustrative; all commercial figures and customer records are fictional.</t>
  </si>
  <si>
    <t>AM1. Installed equipment and agreements</t>
  </si>
  <si>
    <t>MANUAL IF E11 IS UNAVAILABLE. One row per physical unit. Confirm No contract explicitly; blank dates do not prove there is no agreement.</t>
  </si>
  <si>
    <t>Updated by: Service team. Review monthly; carry forward unchanged records.</t>
  </si>
  <si>
    <t>Unit / serial ID</t>
  </si>
  <si>
    <t>Model product code</t>
  </si>
  <si>
    <t>Installation date</t>
  </si>
  <si>
    <t>Unit status</t>
  </si>
  <si>
    <t>Ownership</t>
  </si>
  <si>
    <t>Warranty ends</t>
  </si>
  <si>
    <t>Agreement held?</t>
  </si>
  <si>
    <t>Agreement starts</t>
  </si>
  <si>
    <t>Agreement ends</t>
  </si>
  <si>
    <t>Agreement reference</t>
  </si>
  <si>
    <t>DEMO-EQ-A</t>
  </si>
  <si>
    <t>DEMO-MED-P300</t>
  </si>
  <si>
    <t>Active</t>
  </si>
  <si>
    <t>Customer-owned</t>
  </si>
  <si>
    <t>Yes</t>
  </si>
  <si>
    <t>DEMO-SC-A</t>
  </si>
  <si>
    <t>DEMO-EQ-B</t>
  </si>
  <si>
    <t>DEMO-VAP-PF</t>
  </si>
  <si>
    <t>AM2. Approved consumable and activity rules</t>
  </si>
  <si>
    <t>TECHNICAL / MANUAL. Confirm suitability and units from approved evidence. Demo pairings and quantities are not technical or clinical instructions.</t>
  </si>
  <si>
    <t>Updated by: Service / technical team. Review monthly; carry forward unchanged records.</t>
  </si>
  <si>
    <t>Consumable product code</t>
  </si>
  <si>
    <t>Activity counting unit</t>
  </si>
  <si>
    <t>Consumable quantity per activity</t>
  </si>
  <si>
    <t>Consumable counting unit</t>
  </si>
  <si>
    <t>Technical evidence reference</t>
  </si>
  <si>
    <t>Last checked</t>
  </si>
  <si>
    <t>Procedure</t>
  </si>
  <si>
    <t>DEMO assumption; verify approved setup</t>
  </si>
  <si>
    <t>Treatment</t>
  </si>
  <si>
    <t>AM3. Monthly equipment use and customer stock</t>
  </si>
  <si>
    <t>MANUAL CUSTOMER / OPERATING DATA. Activity and capacity use the same unit. Price and sales allocation are conditional; see the notes below.</t>
  </si>
  <si>
    <t>Updated by: Account owner with customer. Review monthly; carry forward unchanged records.</t>
  </si>
  <si>
    <t>Unit ID</t>
  </si>
  <si>
    <t>Activity count</t>
  </si>
  <si>
    <t>Practical activity capacity</t>
  </si>
  <si>
    <t>Customer-held quantity</t>
  </si>
  <si>
    <t>Price JOD if unavailable</t>
  </si>
  <si>
    <t>Sales allocation % if needed</t>
  </si>
  <si>
    <t>Evidence / reliability</t>
  </si>
  <si>
    <t>DEMO activity log; customer confirmed</t>
  </si>
  <si>
    <t>DEMO customer estimate; verify</t>
  </si>
  <si>
    <t>AM4. Project costs or assignments missing from Alpha</t>
  </si>
  <si>
    <t>MANUAL ONLY FOR E09 GAPS. Match a unique cost reference before combining with Alpha. Enter Actual and Estimate separately.</t>
  </si>
  <si>
    <t>Updated by: Accountant. Review monthly; carry forward unchanged records.</t>
  </si>
  <si>
    <t>Cost reference</t>
  </si>
  <si>
    <t>Cost date</t>
  </si>
  <si>
    <t>Project / order code</t>
  </si>
  <si>
    <t>Cost type</t>
  </si>
  <si>
    <t>Actual or Estimate</t>
  </si>
  <si>
    <t>Amount (JOD)</t>
  </si>
  <si>
    <t>Source / assignment basis</t>
  </si>
  <si>
    <t>DEMO-COST-A</t>
  </si>
  <si>
    <t>Freight</t>
  </si>
  <si>
    <t>Actual</t>
  </si>
  <si>
    <t>DEMO invoice A; excluded from ERP product cost</t>
  </si>
  <si>
    <t>DEMO-COST-B</t>
  </si>
  <si>
    <t>Installation</t>
  </si>
  <si>
    <t>DEMO work note B; excluded from ERP product cost</t>
  </si>
  <si>
    <t>AM5. Monthly department results</t>
  </si>
  <si>
    <t>COUNTS MANUAL IF E12/E13 ARE UNAVAILABLE. Management confirms targets. Ratios need both counts; report figures are calculated.</t>
  </si>
  <si>
    <t>Updated by: Service / tender / HR lead. Review monthly; carry forward unchanged records.</t>
  </si>
  <si>
    <t>Indicator</t>
  </si>
  <si>
    <t>Count meeting target / vacancy days</t>
  </si>
  <si>
    <t>Total checked for a rate</t>
  </si>
  <si>
    <t>Target (% or days)</t>
  </si>
  <si>
    <t>Evidence reference</t>
  </si>
  <si>
    <t>Calculated result (% or days)</t>
  </si>
  <si>
    <t>Support responses on time</t>
  </si>
  <si>
    <t>DEMO cases opened in September</t>
  </si>
  <si>
    <t>Documents complete at first review</t>
  </si>
  <si>
    <t>DEMO September first-review log</t>
  </si>
  <si>
    <t>AM3 price: use a matching customer/product price from Alpha first. If missing, enter a confirmed quote price and its evidence.</t>
  </si>
  <si>
    <t>AM3 allocation: use direct unit links first. If one customer/product serves several units, use confirmed shares totalling 100% or an approved rule.</t>
  </si>
  <si>
    <t>Never attach the full customer purchase amount to every unit. Unallocated purchases stay at customer level. Repeat activity/capacity consistently per unit.</t>
  </si>
  <si>
    <t>AM5: use cases OPENED in the month. Evidence must identify the first-response time limit and the agreed calendar-hours or business-hours rule.</t>
  </si>
  <si>
    <t>Vacancy days means the oldest critical unfilled role at month end. Open support cases is a month-end count; leave the rate denominator blank.</t>
  </si>
  <si>
    <t>Accounts and tenders: manual inputs</t>
  </si>
  <si>
    <t>Splits Sadaf's customers into Tender accounts (public-sector bodies that buy through formal tenders) and Private accounts (private hospitals, centres and clinics that buy by quotation or purchase order).</t>
  </si>
  <si>
    <t>Fill only what Alpha ERP cannot supply. Blue rows are fictional examples: clear them before real use. Yellow cells are manual inputs. Dates are dd-mmm-yyyy.</t>
  </si>
  <si>
    <t>AM6. Account master: segment, terms and credit limit</t>
  </si>
  <si>
    <t>MANUAL IF E02 DOES NOT CARRY THEM. One row per customer code. Segment decides which view the account appears in; it never changes sales figures, only grouping.</t>
  </si>
  <si>
    <t>Updated by: Sales manager + accountant. Review monthly; update a row only when terms, limit or segment change.</t>
  </si>
  <si>
    <t>Customer name</t>
  </si>
  <si>
    <t>Segment</t>
  </si>
  <si>
    <t>Customer type</t>
  </si>
  <si>
    <t>City</t>
  </si>
  <si>
    <t>Account owner</t>
  </si>
  <si>
    <t>Payment terms (days)</t>
  </si>
  <si>
    <t>Credit limit (JOD)</t>
  </si>
  <si>
    <t>Active?</t>
  </si>
  <si>
    <t>Demo Hospital A</t>
  </si>
  <si>
    <t>Public hospital</t>
  </si>
  <si>
    <t>Amman</t>
  </si>
  <si>
    <t>Demo Hospital B</t>
  </si>
  <si>
    <t>Irbid</t>
  </si>
  <si>
    <t>DEMO-C003</t>
  </si>
  <si>
    <t>Demo Clinic C</t>
  </si>
  <si>
    <t>Private</t>
  </si>
  <si>
    <t>Specialist clinic</t>
  </si>
  <si>
    <t>Demo Omar</t>
  </si>
  <si>
    <t>AM7. Account targets and last year's figures</t>
  </si>
  <si>
    <t>MANUAL. One row per customer and month, figures YEAR TO DATE up to that month. Prior-year columns can be skipped when Alpha ERP history (E03) is loaded for the same period last year.</t>
  </si>
  <si>
    <t>Updated by: Management / finance. Review monthly; replace the month's rows, do not add successive months together.</t>
  </si>
  <si>
    <t>Year to date at month</t>
  </si>
  <si>
    <t>Prior-year sales, same period (JOD)</t>
  </si>
  <si>
    <t>Prior-year gross profit, same period (JOD)</t>
  </si>
  <si>
    <t>DEMO management plan; ERP history</t>
  </si>
  <si>
    <t>AW3. Tender detail: award, delivery, billing and guarantees</t>
  </si>
  <si>
    <t>MANUAL, ADDS TO AW1. One row per tender record code already in AW1 (the stage, value, full planned cost and next event stay in AW1). Replace the row weekly while the tender is live.</t>
  </si>
  <si>
    <t>Updated by: Tender department + accountant. Review weekly; keep closed tenders until the year ends so results can be counted.</t>
  </si>
  <si>
    <t>Record code (from AW1)</t>
  </si>
  <si>
    <t>Authority tender number</t>
  </si>
  <si>
    <t>Award date</t>
  </si>
  <si>
    <t>Delivered (%)</t>
  </si>
  <si>
    <t>Invoiced to date (JOD)</t>
  </si>
  <si>
    <t>Collected to date (JOD)</t>
  </si>
  <si>
    <t>Guarantee type</t>
  </si>
  <si>
    <t>Guarantee amount (JOD)</t>
  </si>
  <si>
    <t>Guarantee expiry</t>
  </si>
  <si>
    <t>Outcome / loss reason</t>
  </si>
  <si>
    <t>DEMO-AUTH-001</t>
  </si>
  <si>
    <t>Performance bond</t>
  </si>
  <si>
    <t>Won</t>
  </si>
  <si>
    <t>DEMO-AUTH-002</t>
  </si>
  <si>
    <t>AM8. Tender results this year</t>
  </si>
  <si>
    <t>MANUAL, ONLY IF AW1 DOES NOT KEEP EVERY CLOSED TENDER. Cumulative counts and values from 1 January to the month shown. Pending means submitted with no decision yet.</t>
  </si>
  <si>
    <t>Updated by: Tender department. Review monthly; replace the single row for the month.</t>
  </si>
  <si>
    <t>Tenders submitted</t>
  </si>
  <si>
    <t>Lost</t>
  </si>
  <si>
    <t>Pending</t>
  </si>
  <si>
    <t>Value submitted (JOD)</t>
  </si>
  <si>
    <t>Value won (JOD)</t>
  </si>
  <si>
    <t>Counts check</t>
  </si>
  <si>
    <t>Tender account = public-sector body buying through formal tenders (ministries, university and government hospitals, military medical services, joint procurement). Private account = private hospital, centre or clinic buying by quotation or purchase order. Decide the segment once per customer and keep it stable.</t>
  </si>
  <si>
    <t>Orders, last order date, average order and sales by line come from the invoices in E03; do not type them here. Receivables and overdue come from E05; cash received from E04.</t>
  </si>
  <si>
    <t>Prior-year figures must cover the same months as the sales they are compared with (year to date against year to date), on the same net-of-tax basis.</t>
  </si>
  <si>
    <t>Guarantee amounts are held by the bank or the authority, not revenue or cost. Track expiry so a bond is never left to lapse during delivery or warranty.</t>
  </si>
  <si>
    <t>Win rate = won / (won + lost). Pending tenders are excluded until decided. Pipeline value is face value and is not weighted by invented probabilities.</t>
  </si>
  <si>
    <t>Worked examples: Basic and Advanced</t>
  </si>
  <si>
    <t>Fictional September 2026 records; balances and stock are checked at 08-Oct-2026. Each project and unit is matched by code.</t>
  </si>
  <si>
    <t>Measure</t>
  </si>
  <si>
    <t>Meaning / source</t>
  </si>
  <si>
    <t>Example ERP values (not manual inputs)</t>
  </si>
  <si>
    <t>Project code</t>
  </si>
  <si>
    <t>Month start</t>
  </si>
  <si>
    <t>Month end</t>
  </si>
  <si>
    <t>Balance / stock snapshot</t>
  </si>
  <si>
    <t>Project sales (JOD)</t>
  </si>
  <si>
    <t>E03. Two delivered equipment/device projects; these are not whole-company sales.</t>
  </si>
  <si>
    <t>Project product cost (JOD)</t>
  </si>
  <si>
    <t>E03. Excludes the additional freight/installation in AM4.</t>
  </si>
  <si>
    <t>Project receipts in September (JOD)</t>
  </si>
  <si>
    <t>E04. Receipts allocated to these projects in this example.</t>
  </si>
  <si>
    <t>Outstanding at snapshot (JOD)</t>
  </si>
  <si>
    <t>E05. Separate invoice balances; not estimated from current-month sales.</t>
  </si>
  <si>
    <t>Invoice contractual due date</t>
  </si>
  <si>
    <t>E05. The promised payment date in BW1 does not replace the contractual due date.</t>
  </si>
  <si>
    <t>Consumables purchased (pieces)</t>
  </si>
  <si>
    <t>E03. September net quantities. One unit per customer/product in these examples.</t>
  </si>
  <si>
    <t>Consumable sales (JOD)</t>
  </si>
  <si>
    <t>E03. Separate consumable transactions; counted once in Consumables.</t>
  </si>
  <si>
    <t>Consumable product cost (JOD)</t>
  </si>
  <si>
    <t>E03. For the same consumable transactions.</t>
  </si>
  <si>
    <t>Comparison price (JOD / piece)</t>
  </si>
  <si>
    <t>E03. One matching unit price for estimated demand and purchase comparison.</t>
  </si>
  <si>
    <t>Warehouse quantity (pieces)</t>
  </si>
  <si>
    <t>E06. Warehouse stock is different from stock held by a customer.</t>
  </si>
  <si>
    <t>Warehouse unit cost (JOD)</t>
  </si>
  <si>
    <t>E06. Same counting unit as quantity.</t>
  </si>
  <si>
    <t>Batch expiry date</t>
  </si>
  <si>
    <t>E06 or BW2. Single-batch illustration.</t>
  </si>
  <si>
    <t>Average daily issues (pieces)</t>
  </si>
  <si>
    <t>E07. Illustrative historical rates; transfers/adjustments are excluded.</t>
  </si>
  <si>
    <t>Illustrative management assumptions</t>
  </si>
  <si>
    <t>Share of gap that could be won</t>
  </si>
  <si>
    <t>BM2 in a live pack. A scenario choice, not a probability inferred from the data.</t>
  </si>
  <si>
    <t>Extra-sales margin after direct costs</t>
  </si>
  <si>
    <t>BM2. Assumed contribution margin, excluding overhead, tax and financing.</t>
  </si>
  <si>
    <t>Equipment age review threshold (years)</t>
  </si>
  <si>
    <t>BM2. Review signal only, not a required replacement age.</t>
  </si>
  <si>
    <t>Agreement renewal warning (days)</t>
  </si>
  <si>
    <t>BM2. Contracts within the warning window still count as covered until expiry.</t>
  </si>
  <si>
    <t>Basic report calculations</t>
  </si>
  <si>
    <t>Gross profit (JOD)</t>
  </si>
  <si>
    <t>Sales less product cost.</t>
  </si>
  <si>
    <t>Gross margin</t>
  </si>
  <si>
    <t>Cash collected (JOD)</t>
  </si>
  <si>
    <t>Remaining invoice balance (JOD)</t>
  </si>
  <si>
    <t>Days overdue</t>
  </si>
  <si>
    <t>Days from contractual due date to snapshot; zero if not yet due.</t>
  </si>
  <si>
    <t>Overdue amount (JOD)</t>
  </si>
  <si>
    <t>Warehouse stock value (JOD)</t>
  </si>
  <si>
    <t>Warehouse stock lasts (days)</t>
  </si>
  <si>
    <t>Potential unsold units at expiry</t>
  </si>
  <si>
    <t>Single batch, stable demand, whole pieces rounded down; real systems must allocate demand across all batches.</t>
  </si>
  <si>
    <t>Potential expiry loss (JOD)</t>
  </si>
  <si>
    <t>Estimated unsold units x cost; not a confirmed loss and not added to slow-stock value.</t>
  </si>
  <si>
    <t>Category sales target (JOD)</t>
  </si>
  <si>
    <t>BM1, matched to September and product category.</t>
  </si>
  <si>
    <t>Sales versus target</t>
  </si>
  <si>
    <t>Advanced project calculations</t>
  </si>
  <si>
    <t>Extra actual project costs (JOD)</t>
  </si>
  <si>
    <t>AM4 actual costs only, matched by project. In live reports, combine with E09 once per cost reference.</t>
  </si>
  <si>
    <t>Profit after project costs (JOD)</t>
  </si>
  <si>
    <t>Gross profit less extra direct costs; excludes general company costs.</t>
  </si>
  <si>
    <t>Margin after project costs</t>
  </si>
  <si>
    <t>Tender value (JOD)</t>
  </si>
  <si>
    <t>Full planned direct cost (JOD)</t>
  </si>
  <si>
    <t>Planned tender profit (JOD)</t>
  </si>
  <si>
    <t>Actual cost above / below plan (JOD)</t>
  </si>
  <si>
    <t>Positive means actual cost exceeded the plan; zero means equal in this example.</t>
  </si>
  <si>
    <t>Advanced repeat-consumable calculations</t>
  </si>
  <si>
    <t>Monthly activity count</t>
  </si>
  <si>
    <t>Consumable pieces per activity</t>
  </si>
  <si>
    <t>Estimated consumable quantity</t>
  </si>
  <si>
    <t>AM3 activity x AM2 approved quantity. Demo rules need technical confirmation.</t>
  </si>
  <si>
    <t>Estimated demand at reference price (JOD)</t>
  </si>
  <si>
    <t>Purchases attributed to this unit (pieces)</t>
  </si>
  <si>
    <t>One unit per customer/product here. Multiple units require confirmed attribution or allocation shares.</t>
  </si>
  <si>
    <t>Purchases at reference price (JOD)</t>
  </si>
  <si>
    <t>Purchasing gap to investigate (JOD)</t>
  </si>
  <si>
    <t>Estimated difference; stock drawdown, buying cycles or other suppliers can explain it. It is not proven lost profit.</t>
  </si>
  <si>
    <t>Purchases versus estimated demand</t>
  </si>
  <si>
    <t>Customer stock (pieces)</t>
  </si>
  <si>
    <t>Customer stock lasts (days)</t>
  </si>
  <si>
    <t>Closing customer stock / average estimated daily consumption over the 30-day September period.</t>
  </si>
  <si>
    <t>Activity / practical capacity, same unit and period. Capacity is not the number of working staff.</t>
  </si>
  <si>
    <t>Possible extra yearly sales (JOD)</t>
  </si>
  <si>
    <t>Positive monthly gap x assumed share won x 12. Assumes stable demand for 12 months.</t>
  </si>
  <si>
    <t>Possible extra yearly profit (JOD)</t>
  </si>
  <si>
    <t>Advanced agreement and age checks</t>
  </si>
  <si>
    <t>Agreement status at snapshot</t>
  </si>
  <si>
    <t>Unit covered: 1 = yes, 0 = no</t>
  </si>
  <si>
    <t>Equipment age review</t>
  </si>
  <si>
    <t>Coverage for these two active units</t>
  </si>
  <si>
    <t>Active agreements / active units. Unknown coverage must remain visible.</t>
  </si>
  <si>
    <t>Monthly department examples</t>
  </si>
  <si>
    <t>Actual %</t>
  </si>
  <si>
    <t>Target %</t>
  </si>
  <si>
    <t>42 of 50 cases = 84%, against an illustrative 95% target.</t>
  </si>
  <si>
    <t>Complete documents at first review</t>
  </si>
  <si>
    <t>19 of 25 first reviews = 76%, against an illustrative 98% target.</t>
  </si>
  <si>
    <t>This sheet checks two fixed demo cases. Production calculations need all confirmed sources, period filters, joins, and duplicate controls.</t>
  </si>
  <si>
    <t>ERP values above are fictional examples, not extra fields to type. Use the relevant manual tables for records missing from the actual source.</t>
  </si>
  <si>
    <t>Accounts: tender versus private (AM6, AM7)</t>
  </si>
  <si>
    <t>E02. Codes match AM6 and AM7.</t>
  </si>
  <si>
    <t>AM6. Hospital A buys through tenders, Clinic C by purchase order.</t>
  </si>
  <si>
    <t>Period start</t>
  </si>
  <si>
    <t>First day of the year-to-date period.</t>
  </si>
  <si>
    <t>Period end</t>
  </si>
  <si>
    <t>Last day of the complete month reported.</t>
  </si>
  <si>
    <t>Days in period</t>
  </si>
  <si>
    <t>Both ends included: 273 days.</t>
  </si>
  <si>
    <t>YTD net sales (JOD)</t>
  </si>
  <si>
    <t>E03, net of tax, returns netted.</t>
  </si>
  <si>
    <t>YTD product cost (JOD)</t>
  </si>
  <si>
    <t>E03 product cost for the same lines.</t>
  </si>
  <si>
    <t>YTD direct costs, actual (JOD)</t>
  </si>
  <si>
    <t>E09 or AM4: freight, installation, training.</t>
  </si>
  <si>
    <t>Cash collected YTD (JOD)</t>
  </si>
  <si>
    <t>E04 receipts allocated to this customer.</t>
  </si>
  <si>
    <t>E05. Sales - cash = outstanding, assuming nothing was open on 1 January.</t>
  </si>
  <si>
    <t>Oldest overdue invoice (days)</t>
  </si>
  <si>
    <t>From E05 due dates. Hospital A: its project invoice (row 46) is 10 days late.</t>
  </si>
  <si>
    <t>Part of the outstanding balance that is past due.</t>
  </si>
  <si>
    <t>Last order date</t>
  </si>
  <si>
    <t>Latest invoice date in E03.</t>
  </si>
  <si>
    <t>Snapshot date</t>
  </si>
  <si>
    <t>Same snapshot as the balances above.</t>
  </si>
  <si>
    <t>AM6.</t>
  </si>
  <si>
    <t>Sales target, same period (JOD)</t>
  </si>
  <si>
    <t>AM7, matched on customer AND month start (row 13).</t>
  </si>
  <si>
    <t>Prior-year sales (JOD)</t>
  </si>
  <si>
    <t>AM7 or E03 history, same months.</t>
  </si>
  <si>
    <t>Prior-year gross profit (JOD)</t>
  </si>
  <si>
    <t>AM7 or E03 history.</t>
  </si>
  <si>
    <t>Net sales - product cost.</t>
  </si>
  <si>
    <t>Gross profit / net sales.</t>
  </si>
  <si>
    <t>Contribution after direct costs (JOD)</t>
  </si>
  <si>
    <t>Excludes overhead, tax and finance.</t>
  </si>
  <si>
    <t>Sales vs last year</t>
  </si>
  <si>
    <t>Same months, same basis.</t>
  </si>
  <si>
    <t>Gross profit vs last year</t>
  </si>
  <si>
    <t>Sales vs target</t>
  </si>
  <si>
    <t>Same customer and month: a real attainment (unlike row 53).</t>
  </si>
  <si>
    <t>Days sales outstanding</t>
  </si>
  <si>
    <t>Outstanding / sales x days in period. Opening receivables inflate it; use it to compare accounts.</t>
  </si>
  <si>
    <t>Credit limit in use</t>
  </si>
  <si>
    <t>Outstanding / credit limit.</t>
  </si>
  <si>
    <t>Days since last order</t>
  </si>
  <si>
    <t>Snapshot date - last order date.</t>
  </si>
  <si>
    <t>Recurring consumable capture</t>
  </si>
  <si>
    <t>No units on record</t>
  </si>
  <si>
    <t>A04 for the account's installed units (row 72); blank when the account has none.</t>
  </si>
  <si>
    <t>Health status</t>
  </si>
  <si>
    <t>Report A10 without the tender-deadline rule, which needs AW1. Hospital A: overdue balance and capture 67%. Clinic C: Private with no order for 49 days.</t>
  </si>
  <si>
    <t>Segment totals</t>
  </si>
  <si>
    <t>Accounts</t>
  </si>
  <si>
    <t>Customers in the segment.</t>
  </si>
  <si>
    <t>Sales YTD (JOD)</t>
  </si>
  <si>
    <t>Gross profit YTD (JOD)</t>
  </si>
  <si>
    <t>Segment gross profit / segment sales, not an average of account margins.</t>
  </si>
  <si>
    <t>Share of gross profit</t>
  </si>
  <si>
    <t>The two shares add to 100%.</t>
  </si>
  <si>
    <t>Outstanding (JOD)</t>
  </si>
  <si>
    <t>Overdue (JOD)</t>
  </si>
  <si>
    <t>Segment sales / segment prior-year sales - 1.</t>
  </si>
  <si>
    <t>Check: segments add up to the accounts</t>
  </si>
  <si>
    <t>Tender + Private must equal the company: sales, gross profit and receivables.</t>
  </si>
  <si>
    <t>Tenders (AW1 + AW3 + AM8)</t>
  </si>
  <si>
    <t>Hospital A tender</t>
  </si>
  <si>
    <t>Hospital B tender</t>
  </si>
  <si>
    <t>Record code (AW1)</t>
  </si>
  <si>
    <t>Same project codes as the rows above.</t>
  </si>
  <si>
    <t>Contract value (JOD)</t>
  </si>
  <si>
    <t>AW1.</t>
  </si>
  <si>
    <t>AW3.</t>
  </si>
  <si>
    <t>Backlog still to deliver (JOD)</t>
  </si>
  <si>
    <t>Value x (1 - delivered %).</t>
  </si>
  <si>
    <t>Delivered, not yet invoiced (JOD)</t>
  </si>
  <si>
    <t>Value delivered but not billed: a billing delay.</t>
  </si>
  <si>
    <t>Invoiced, not yet collected (JOD)</t>
  </si>
  <si>
    <t>Invoiced - collected.</t>
  </si>
  <si>
    <t>Check: equals the open invoice balance (row 45)</t>
  </si>
  <si>
    <t>AW3 billing must agree with E05.</t>
  </si>
  <si>
    <t>Days to guarantee expiry</t>
  </si>
  <si>
    <t>Expiry - snapshot date.</t>
  </si>
  <si>
    <t>Tender results (AM8)</t>
  </si>
  <si>
    <t>Value</t>
  </si>
  <si>
    <t>Win rate: won / (won + lost)</t>
  </si>
  <si>
    <t>Pending tenders are not counted either way: 6 / (6 + 5).</t>
  </si>
  <si>
    <t>Average won tender (JOD)</t>
  </si>
  <si>
    <t>Value won / tenders won.</t>
  </si>
  <si>
    <t>Submitted = won + lost + pending</t>
  </si>
  <si>
    <t>Counts check from AM8.</t>
  </si>
  <si>
    <t>Rows 95 onward use only the fictional rows of the Accounts sheet. The tender-deadline rule of report A10 and per-line account figures are calculated in the app; they need AW1 dates and E03 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</si>
</sst>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0.00\);0.00"/>
    <numFmt numFmtId="166" formatCode="mmm\ yyyy"/>
    <numFmt numFmtId="167" formatCode="0.0%"/>
    <numFmt numFmtId="168" formatCode="0.0"/>
  </numFmts>
  <fonts count="13">
    <font>
      <sz val="11"/>
      <name val="Carlito"/>
    </font>
    <font>
      <sz val="11"/>
      <color rgb="FF26374A"/>
      <name val="Arial"/>
    </font>
    <font>
      <b/>
      <sz val="18"/>
      <color rgb="FF26374A"/>
      <name val="Arial"/>
    </font>
    <font>
      <sz val="11"/>
      <color rgb="FF64748B"/>
      <name val="Arial"/>
    </font>
    <font>
      <sz val="10"/>
      <color rgb="FF64748B"/>
      <name val="Arial"/>
    </font>
    <font>
      <b/>
      <sz val="11"/>
      <color rgb="FFFFFFFF"/>
      <name val="Arial"/>
    </font>
    <font>
      <b/>
      <sz val="12"/>
      <color rgb="FF26374A"/>
      <name val="Arial"/>
    </font>
    <font>
      <b/>
      <sz val="11"/>
      <color rgb="FF26374A"/>
      <name val="Arial"/>
    </font>
    <font>
      <sz val="18"/>
      <color rgb="FF26374A"/>
      <name val="Arial"/>
      <family val="2"/>
    </font>
    <font>
      <sz val="18"/>
      <name val="Carlito"/>
    </font>
    <font>
      <b/>
      <sz val="18"/>
      <color rgb="FF26374A"/>
      <name val="Arial"/>
      <family val="2"/>
    </font>
    <font>
      <sz val="18"/>
      <color rgb="FF64748B"/>
      <name val="Arial"/>
      <family val="2"/>
    </font>
    <font>
      <b/>
      <sz val="18"/>
      <color rgb="FFFFFFFF"/>
      <name val="Arial"/>
      <family val="2"/>
    </font>
  </fonts>
  <fills count="9">
    <fill>
      <patternFill patternType="none"/>
    </fill>
    <fill>
      <patternFill patternType="gray125"/>
    </fill>
    <fill>
      <patternFill patternType="solid">
        <fgColor rgb="FF26374A"/>
      </patternFill>
    </fill>
    <fill>
      <patternFill patternType="solid">
        <fgColor rgb="FFFFFFFF"/>
      </patternFill>
    </fill>
    <fill>
      <patternFill patternType="solid">
        <fgColor rgb="FFF4F7F9"/>
      </patternFill>
    </fill>
    <fill>
      <patternFill patternType="solid">
        <fgColor rgb="FFFFF5D9"/>
      </patternFill>
    </fill>
    <fill>
      <patternFill patternType="solid">
        <fgColor rgb="FFE7EDF3"/>
      </patternFill>
    </fill>
    <fill>
      <patternFill patternType="solid">
        <fgColor rgb="FFE9F1F7"/>
      </patternFill>
    </fill>
    <fill>
      <patternFill patternType="solid">
        <fgColor rgb="FFF0F2F5"/>
      </patternFill>
    </fill>
  </fills>
  <borders count="1">
    <border>
      <left/>
      <right/>
      <top/>
      <bottom/>
      <diagonal/>
    </border>
  </borders>
  <cellStyleXfs count="1">
    <xf numFmtId="0" fontId="0" fillId="0" borderId="0"/>
  </cellStyleXfs>
  <cellXfs count="8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0" xfId="0" applyFont="1" applyFill="1" applyAlignment="1">
      <alignment vertical="center"/>
    </xf>
    <xf numFmtId="0" fontId="5"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xf>
    <xf numFmtId="0" fontId="6" fillId="6" borderId="0" xfId="0" applyFont="1" applyFill="1" applyAlignment="1">
      <alignment vertical="center"/>
    </xf>
    <xf numFmtId="0" fontId="5" fillId="2" borderId="0" xfId="0" applyFont="1" applyFill="1" applyAlignment="1">
      <alignment horizontal="center" vertical="center" wrapText="1"/>
    </xf>
    <xf numFmtId="0" fontId="1" fillId="7" borderId="0" xfId="0" applyFont="1" applyFill="1" applyAlignment="1">
      <alignment vertical="center" wrapText="1"/>
    </xf>
    <xf numFmtId="164" fontId="1" fillId="7" borderId="0" xfId="0" applyNumberFormat="1" applyFont="1" applyFill="1" applyAlignment="1">
      <alignment vertical="center" wrapText="1"/>
    </xf>
    <xf numFmtId="164" fontId="1" fillId="5" borderId="0" xfId="0" applyNumberFormat="1" applyFont="1" applyFill="1" applyAlignment="1">
      <alignment vertical="center" wrapText="1"/>
    </xf>
    <xf numFmtId="165" fontId="1" fillId="7" borderId="0" xfId="0" applyNumberFormat="1" applyFont="1" applyFill="1" applyAlignment="1">
      <alignment vertical="center" wrapText="1"/>
    </xf>
    <xf numFmtId="165" fontId="1" fillId="5" borderId="0" xfId="0" applyNumberFormat="1" applyFont="1" applyFill="1" applyAlignment="1">
      <alignment vertical="center" wrapText="1"/>
    </xf>
    <xf numFmtId="165" fontId="1" fillId="8" borderId="0" xfId="0" applyNumberFormat="1" applyFont="1" applyFill="1" applyAlignment="1">
      <alignment vertical="center" wrapText="1"/>
    </xf>
    <xf numFmtId="164" fontId="1" fillId="8" borderId="0" xfId="0" applyNumberFormat="1" applyFont="1" applyFill="1" applyAlignment="1">
      <alignment vertical="center" wrapText="1"/>
    </xf>
    <xf numFmtId="0" fontId="1" fillId="8" borderId="0" xfId="0" applyFont="1" applyFill="1" applyAlignment="1">
      <alignment vertical="center" wrapText="1"/>
    </xf>
    <xf numFmtId="166" fontId="1" fillId="7" borderId="0" xfId="0" applyNumberFormat="1" applyFont="1" applyFill="1" applyAlignment="1">
      <alignment vertical="center" wrapText="1"/>
    </xf>
    <xf numFmtId="166" fontId="1" fillId="5" borderId="0" xfId="0" applyNumberFormat="1" applyFont="1" applyFill="1" applyAlignment="1">
      <alignment vertical="center" wrapText="1"/>
    </xf>
    <xf numFmtId="167" fontId="1" fillId="7" borderId="0" xfId="0" applyNumberFormat="1" applyFont="1" applyFill="1" applyAlignment="1">
      <alignment vertical="center" wrapText="1"/>
    </xf>
    <xf numFmtId="167" fontId="1" fillId="5" borderId="0" xfId="0" applyNumberFormat="1" applyFont="1" applyFill="1" applyAlignment="1">
      <alignment vertical="center" wrapText="1"/>
    </xf>
    <xf numFmtId="167" fontId="1" fillId="8" borderId="0" xfId="0" applyNumberFormat="1" applyFont="1" applyFill="1" applyAlignment="1">
      <alignment vertical="center" wrapText="1"/>
    </xf>
    <xf numFmtId="168" fontId="1" fillId="8" borderId="0" xfId="0" applyNumberFormat="1" applyFont="1" applyFill="1" applyAlignment="1">
      <alignment vertical="center" wrapText="1"/>
    </xf>
    <xf numFmtId="0" fontId="1" fillId="0" borderId="0" xfId="0" applyFont="1" applyAlignment="1">
      <alignment vertical="center" wrapText="1"/>
    </xf>
    <xf numFmtId="0" fontId="6" fillId="6" borderId="0" xfId="0" applyFont="1" applyFill="1" applyAlignment="1">
      <alignment vertical="center" wrapText="1"/>
    </xf>
    <xf numFmtId="0" fontId="4" fillId="0" borderId="0" xfId="0" applyFont="1" applyAlignment="1">
      <alignment vertical="center" wrapText="1"/>
    </xf>
    <xf numFmtId="0" fontId="7" fillId="7" borderId="0" xfId="0" applyFont="1" applyFill="1" applyAlignment="1">
      <alignment vertical="center" wrapText="1"/>
    </xf>
    <xf numFmtId="1" fontId="1" fillId="7" borderId="0" xfId="0" applyNumberFormat="1" applyFont="1" applyFill="1" applyAlignment="1">
      <alignment vertical="center" wrapText="1"/>
    </xf>
    <xf numFmtId="3" fontId="1" fillId="7" borderId="0" xfId="0" applyNumberFormat="1" applyFont="1" applyFill="1" applyAlignment="1">
      <alignment vertical="center" wrapText="1"/>
    </xf>
    <xf numFmtId="1" fontId="1" fillId="5" borderId="0" xfId="0" applyNumberFormat="1" applyFont="1" applyFill="1" applyAlignment="1">
      <alignment vertical="center" wrapText="1"/>
    </xf>
    <xf numFmtId="3" fontId="1" fillId="5" borderId="0" xfId="0" applyNumberFormat="1" applyFont="1" applyFill="1" applyAlignment="1">
      <alignment vertical="center" wrapText="1"/>
    </xf>
    <xf numFmtId="0" fontId="5"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0" borderId="0" xfId="0" applyFont="1" applyAlignment="1">
      <alignment horizontal="center" vertical="center"/>
    </xf>
    <xf numFmtId="0" fontId="5" fillId="2" borderId="0" xfId="0" applyFont="1" applyFill="1" applyAlignment="1">
      <alignment horizontal="center" vertical="center"/>
    </xf>
    <xf numFmtId="0" fontId="1" fillId="6" borderId="0" xfId="0" applyFont="1" applyFill="1" applyAlignment="1">
      <alignment horizontal="center" vertical="center"/>
    </xf>
    <xf numFmtId="0" fontId="1" fillId="8" borderId="0" xfId="0" applyFont="1" applyFill="1" applyAlignment="1">
      <alignment horizontal="center" vertical="center"/>
    </xf>
    <xf numFmtId="164" fontId="1"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165" fontId="1" fillId="0" borderId="0" xfId="0" applyNumberFormat="1" applyFont="1" applyAlignment="1">
      <alignment horizontal="center" vertical="center"/>
    </xf>
    <xf numFmtId="165" fontId="7" fillId="7" borderId="0" xfId="0" applyNumberFormat="1" applyFont="1" applyFill="1" applyAlignment="1">
      <alignment horizontal="center" vertical="center"/>
    </xf>
    <xf numFmtId="167" fontId="1" fillId="0" borderId="0" xfId="0" applyNumberFormat="1" applyFont="1" applyAlignment="1">
      <alignment horizontal="center" vertical="center"/>
    </xf>
    <xf numFmtId="1" fontId="1" fillId="0" borderId="0" xfId="0" applyNumberFormat="1" applyFont="1" applyAlignment="1">
      <alignment horizontal="center" vertical="center"/>
    </xf>
    <xf numFmtId="165" fontId="1" fillId="6" borderId="0" xfId="0" applyNumberFormat="1" applyFont="1" applyFill="1" applyAlignment="1">
      <alignment horizontal="center" vertical="center"/>
    </xf>
    <xf numFmtId="167" fontId="7" fillId="7" borderId="0" xfId="0" applyNumberFormat="1" applyFont="1" applyFill="1" applyAlignment="1">
      <alignment horizontal="center" vertical="center"/>
    </xf>
    <xf numFmtId="3" fontId="1" fillId="8" borderId="0" xfId="0" applyNumberFormat="1" applyFont="1" applyFill="1" applyAlignment="1">
      <alignment horizontal="center" vertical="center"/>
    </xf>
    <xf numFmtId="3" fontId="1" fillId="0" borderId="0" xfId="0" applyNumberFormat="1" applyFont="1" applyAlignment="1">
      <alignment horizontal="center" vertical="center"/>
    </xf>
    <xf numFmtId="164" fontId="1" fillId="0" borderId="0" xfId="0" applyNumberFormat="1" applyFont="1" applyAlignment="1">
      <alignment horizontal="center" vertical="center"/>
    </xf>
    <xf numFmtId="168" fontId="1" fillId="0" borderId="0" xfId="0" applyNumberFormat="1"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5" fillId="2" borderId="0" xfId="0" applyFont="1" applyFill="1" applyAlignment="1">
      <alignment horizontal="center"/>
    </xf>
    <xf numFmtId="0" fontId="1" fillId="6" borderId="0" xfId="0" applyFont="1" applyFill="1" applyAlignment="1">
      <alignment horizontal="center"/>
    </xf>
    <xf numFmtId="0" fontId="1" fillId="8" borderId="0" xfId="0" applyFont="1" applyFill="1" applyAlignment="1">
      <alignment horizontal="center"/>
    </xf>
    <xf numFmtId="164" fontId="1" fillId="8" borderId="0" xfId="0" applyNumberFormat="1" applyFont="1" applyFill="1" applyAlignment="1">
      <alignment horizontal="center"/>
    </xf>
    <xf numFmtId="165" fontId="1" fillId="8" borderId="0" xfId="0" applyNumberFormat="1" applyFont="1" applyFill="1" applyAlignment="1">
      <alignment horizontal="center"/>
    </xf>
    <xf numFmtId="165" fontId="1" fillId="0" borderId="0" xfId="0" applyNumberFormat="1" applyFont="1" applyAlignment="1">
      <alignment horizontal="center"/>
    </xf>
    <xf numFmtId="165" fontId="7" fillId="7" borderId="0" xfId="0" applyNumberFormat="1"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5" fontId="1" fillId="6" borderId="0" xfId="0" applyNumberFormat="1" applyFont="1" applyFill="1" applyAlignment="1">
      <alignment horizontal="center"/>
    </xf>
    <xf numFmtId="167" fontId="7" fillId="7" borderId="0" xfId="0" applyNumberFormat="1" applyFont="1" applyFill="1" applyAlignment="1">
      <alignment horizontal="center"/>
    </xf>
    <xf numFmtId="3" fontId="1" fillId="8" borderId="0" xfId="0" applyNumberFormat="1" applyFont="1" applyFill="1" applyAlignment="1">
      <alignment horizontal="center"/>
    </xf>
    <xf numFmtId="3" fontId="1"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9" fontId="1" fillId="5" borderId="0" xfId="0" applyNumberFormat="1" applyFont="1" applyFill="1" applyAlignment="1">
      <alignment horizontal="center" vertical="center"/>
    </xf>
    <xf numFmtId="0" fontId="1" fillId="5" borderId="0" xfId="0" applyFont="1" applyFill="1" applyAlignment="1">
      <alignment horizontal="center" vertical="center"/>
    </xf>
    <xf numFmtId="0" fontId="8" fillId="0" borderId="0" xfId="0" applyFont="1" applyAlignment="1">
      <alignment vertical="center"/>
    </xf>
    <xf numFmtId="0" fontId="9" fillId="0" borderId="0" xfId="0" applyFont="1"/>
    <xf numFmtId="0" fontId="10" fillId="0" borderId="0" xfId="0" applyFont="1" applyAlignment="1">
      <alignment vertical="center"/>
    </xf>
    <xf numFmtId="0" fontId="11" fillId="0" borderId="0" xfId="0" applyFont="1" applyAlignment="1">
      <alignment vertical="center"/>
    </xf>
    <xf numFmtId="0" fontId="10" fillId="6" borderId="0" xfId="0" applyFont="1" applyFill="1" applyAlignment="1">
      <alignment vertical="center"/>
    </xf>
    <xf numFmtId="0" fontId="8" fillId="6" borderId="0" xfId="0" applyFont="1" applyFill="1" applyAlignment="1">
      <alignment vertical="center"/>
    </xf>
    <xf numFmtId="0" fontId="12" fillId="2" borderId="0" xfId="0" applyFont="1" applyFill="1" applyAlignment="1">
      <alignment horizontal="center" vertical="center" wrapText="1"/>
    </xf>
    <xf numFmtId="164" fontId="8" fillId="7" borderId="0" xfId="0" applyNumberFormat="1" applyFont="1" applyFill="1" applyAlignment="1">
      <alignment vertical="center" wrapText="1"/>
    </xf>
    <xf numFmtId="0" fontId="8" fillId="7" borderId="0" xfId="0" applyFont="1" applyFill="1" applyAlignment="1">
      <alignment vertical="center" wrapText="1"/>
    </xf>
    <xf numFmtId="165" fontId="8" fillId="7" borderId="0" xfId="0" applyNumberFormat="1" applyFont="1" applyFill="1" applyAlignment="1">
      <alignment vertical="center" wrapText="1"/>
    </xf>
    <xf numFmtId="164" fontId="8" fillId="5" borderId="0" xfId="0" applyNumberFormat="1" applyFont="1" applyFill="1" applyAlignment="1">
      <alignment vertical="center" wrapText="1"/>
    </xf>
    <xf numFmtId="0" fontId="8" fillId="5" borderId="0" xfId="0" applyFont="1" applyFill="1" applyAlignment="1">
      <alignment vertical="center" wrapText="1"/>
    </xf>
    <xf numFmtId="165" fontId="8" fillId="8" borderId="0" xfId="0" applyNumberFormat="1" applyFont="1" applyFill="1" applyAlignment="1">
      <alignment vertical="center" wrapText="1"/>
    </xf>
    <xf numFmtId="164" fontId="8" fillId="8" borderId="0" xfId="0" applyNumberFormat="1" applyFont="1" applyFill="1" applyAlignment="1">
      <alignment vertical="center" wrapText="1"/>
    </xf>
    <xf numFmtId="0" fontId="8" fillId="8" borderId="0" xfId="0" applyFont="1" applyFill="1" applyAlignment="1">
      <alignment vertical="center" wrapText="1"/>
    </xf>
  </cellXfs>
  <cellStyles count="1">
    <cellStyle name="Normal" xfId="0" builtinId="0"/>
  </cellStyles>
  <dxfs count="21">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
      <font>
        <strike val="0"/>
        <outline val="0"/>
        <shadow val="0"/>
        <u val="none"/>
        <vertAlign val="baseline"/>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uide" displayName="Guide" ref="A7:B26" totalsRowShown="0">
  <autoFilter ref="A7:B26" xr:uid="{00000000-0009-0000-0100-000001000000}"/>
  <tableColumns count="2">
    <tableColumn id="1" xr3:uid="{00000000-0010-0000-0000-000001000000}" name="Topic"/>
    <tableColumn id="2" xr3:uid="{00000000-0010-0000-0000-000002000000}" name="How to use this workbo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portRequirements" displayName="ReportRequirements" ref="A8:H27" totalsRowShown="0">
  <autoFilter ref="A8:H27" xr:uid="{00000000-0009-0000-0100-000002000000}"/>
  <tableColumns count="8">
    <tableColumn id="1" xr3:uid="{00000000-0010-0000-0100-000001000000}" name="Report ID"/>
    <tableColumn id="2" xr3:uid="{00000000-0010-0000-0100-000002000000}" name="Version"/>
    <tableColumn id="3" xr3:uid="{00000000-0010-0000-0100-000003000000}" name="Insight / report"/>
    <tableColumn id="4" xr3:uid="{00000000-0010-0000-0100-000004000000}" name="ERP inputs"/>
    <tableColumn id="5" xr3:uid="{00000000-0010-0000-0100-000005000000}" name="Manual inputs"/>
    <tableColumn id="6" xr3:uid="{00000000-0010-0000-0100-000006000000}" name="Report refresh"/>
    <tableColumn id="7" xr3:uid="{00000000-0010-0000-0100-000007000000}" name="Calculation / interpretation"/>
    <tableColumn id="8" xr3:uid="{00000000-0010-0000-0100-000008000000}" name="If required data is miss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RPChecklist" displayName="ERPChecklist" ref="A8:H21" totalsRowShown="0">
  <autoFilter ref="A8:H21" xr:uid="{00000000-0009-0000-0100-000003000000}"/>
  <tableColumns count="8">
    <tableColumn id="1" xr3:uid="{00000000-0010-0000-0200-000001000000}" name="ID"/>
    <tableColumn id="2" xr3:uid="{00000000-0010-0000-0200-000002000000}" name="Version"/>
    <tableColumn id="3" xr3:uid="{00000000-0010-0000-0200-000003000000}" name="Data file / report"/>
    <tableColumn id="4" xr3:uid="{00000000-0010-0000-0200-000004000000}" name="Minimum fields needed"/>
    <tableColumn id="5" xr3:uid="{00000000-0010-0000-0200-000005000000}" name="Refresh"/>
    <tableColumn id="6" xr3:uid="{00000000-0010-0000-0200-000006000000}" name="Responsible role"/>
    <tableColumn id="7" xr3:uid="{00000000-0010-0000-0200-000007000000}" name="Availability"/>
    <tableColumn id="8" xr3:uid="{00000000-0010-0000-0200-000008000000}" name="Alpha report name / missing field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nput_BW1" displayName="Input_BW1" ref="A10:I16" totalsRowShown="0" headerRowDxfId="11" dataDxfId="10">
  <autoFilter ref="A10:I16" xr:uid="{00000000-0009-0000-0100-000004000000}"/>
  <tableColumns count="9">
    <tableColumn id="1" xr3:uid="{00000000-0010-0000-0300-000001000000}" name="Review week ending" dataDxfId="20"/>
    <tableColumn id="2" xr3:uid="{00000000-0010-0000-0300-000002000000}" name="Action code" dataDxfId="19"/>
    <tableColumn id="3" xr3:uid="{00000000-0010-0000-0300-000003000000}" name="Customer / product / order code" dataDxfId="18"/>
    <tableColumn id="4" xr3:uid="{00000000-0010-0000-0300-000004000000}" name="Next action" dataDxfId="17"/>
    <tableColumn id="5" xr3:uid="{00000000-0010-0000-0300-000005000000}" name="Responsible person" dataDxfId="16"/>
    <tableColumn id="6" xr3:uid="{00000000-0010-0000-0300-000006000000}" name="Action due date" dataDxfId="15"/>
    <tableColumn id="7" xr3:uid="{00000000-0010-0000-0300-000007000000}" name="Status" dataDxfId="14"/>
    <tableColumn id="8" xr3:uid="{00000000-0010-0000-0300-000008000000}" name="Promised amount (JOD)" dataDxfId="13"/>
    <tableColumn id="9" xr3:uid="{00000000-0010-0000-0300-000009000000}" name="Promised payment date"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nput_BW2" displayName="Input_BW2" ref="A23:H29" totalsRowShown="0" headerRowDxfId="1" dataDxfId="0">
  <autoFilter ref="A23:H29" xr:uid="{00000000-0009-0000-0100-000005000000}"/>
  <tableColumns count="8">
    <tableColumn id="1" xr3:uid="{00000000-0010-0000-0400-000001000000}" name="Week ending" dataDxfId="9"/>
    <tableColumn id="2" xr3:uid="{00000000-0010-0000-0400-000002000000}" name="Product code" dataDxfId="8"/>
    <tableColumn id="3" xr3:uid="{00000000-0010-0000-0400-000003000000}" name="Batch code" dataDxfId="7"/>
    <tableColumn id="4" xr3:uid="{00000000-0010-0000-0400-000004000000}" name="Warehouse / location" dataDxfId="6"/>
    <tableColumn id="5" xr3:uid="{00000000-0010-0000-0400-000005000000}" name="Batch quantity if missing" dataDxfId="5"/>
    <tableColumn id="6" xr3:uid="{00000000-0010-0000-0400-000006000000}" name="Counting unit" dataDxfId="4"/>
    <tableColumn id="7" xr3:uid="{00000000-0010-0000-0400-000007000000}" name="Expiry date" dataDxfId="3"/>
    <tableColumn id="8" xr3:uid="{00000000-0010-0000-0400-000008000000}" name="Source / check reference"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Input_BM1" displayName="Input_BM1" ref="A10:E16" totalsRowShown="0">
  <autoFilter ref="A10:E16" xr:uid="{00000000-0009-0000-0100-000006000000}"/>
  <tableColumns count="5">
    <tableColumn id="1" xr3:uid="{00000000-0010-0000-0500-000001000000}" name="Month"/>
    <tableColumn id="2" xr3:uid="{00000000-0010-0000-0500-000002000000}" name="Category or All"/>
    <tableColumn id="3" xr3:uid="{00000000-0010-0000-0500-000003000000}" name="Sales target (JOD)"/>
    <tableColumn id="4" xr3:uid="{00000000-0010-0000-0500-000004000000}" name="Gross margin target"/>
    <tableColumn id="5" xr3:uid="{00000000-0010-0000-0500-000005000000}" name="Collection target (JO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Input_BM2" displayName="Input_BM2" ref="A23:E29" totalsRowShown="0">
  <autoFilter ref="A23:E29" xr:uid="{00000000-0009-0000-0100-000007000000}"/>
  <tableColumns count="5">
    <tableColumn id="1" xr3:uid="{00000000-0010-0000-0600-000001000000}" name="Reviewed month"/>
    <tableColumn id="2" xr3:uid="{00000000-0010-0000-0600-000002000000}" name="Scope / record code"/>
    <tableColumn id="3" xr3:uid="{00000000-0010-0000-0600-000003000000}" name="Field to maintain"/>
    <tableColumn id="4" xr3:uid="{00000000-0010-0000-0600-000004000000}" name="Confirmed value"/>
    <tableColumn id="5" xr3:uid="{00000000-0010-0000-0600-000005000000}" name="Source / approval referenc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Input_AW1" displayName="Input_AW1" ref="A10:K16" totalsRowShown="0">
  <autoFilter ref="A10:K16" xr:uid="{00000000-0009-0000-0100-000008000000}"/>
  <tableColumns count="11">
    <tableColumn id="1" xr3:uid="{00000000-0010-0000-0700-000001000000}" name="Record code"/>
    <tableColumn id="2" xr3:uid="{00000000-0010-0000-0700-000002000000}" name="Record type"/>
    <tableColumn id="3" xr3:uid="{00000000-0010-0000-0700-000003000000}" name="Customer code"/>
    <tableColumn id="4" xr3:uid="{00000000-0010-0000-0700-000004000000}" name="Category"/>
    <tableColumn id="5" xr3:uid="{00000000-0010-0000-0700-000005000000}" name="Product / scope"/>
    <tableColumn id="6" xr3:uid="{00000000-0010-0000-0700-000006000000}" name="Stage"/>
    <tableColumn id="7" xr3:uid="{00000000-0010-0000-0700-000007000000}" name="Total value (JOD)"/>
    <tableColumn id="8" xr3:uid="{00000000-0010-0000-0700-000008000000}" name="Full planned cost (JOD)"/>
    <tableColumn id="9" xr3:uid="{00000000-0010-0000-0700-000009000000}" name="Next event / key issue"/>
    <tableColumn id="10" xr3:uid="{00000000-0010-0000-0700-00000A000000}" name="Next event date"/>
    <tableColumn id="11" xr3:uid="{00000000-0010-0000-0700-00000B000000}" name="Responsible pers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nput_AW2" displayName="Input_AW2" ref="A23:H29" totalsRowShown="0">
  <autoFilter ref="A23:H29" xr:uid="{00000000-0009-0000-0100-000009000000}"/>
  <tableColumns count="8">
    <tableColumn id="1" xr3:uid="{00000000-0010-0000-0800-000001000000}" name="Week ending"/>
    <tableColumn id="2" xr3:uid="{00000000-0010-0000-0800-000002000000}" name="Delivery / PO line code"/>
    <tableColumn id="3" xr3:uid="{00000000-0010-0000-0800-000003000000}" name="Direction"/>
    <tableColumn id="4" xr3:uid="{00000000-0010-0000-0800-000004000000}" name="Supplier / customer code"/>
    <tableColumn id="5" xr3:uid="{00000000-0010-0000-0800-000005000000}" name="Promised full-delivery date"/>
    <tableColumn id="6" xr3:uid="{00000000-0010-0000-0800-000006000000}" name="Actual full-delivery date"/>
    <tableColumn id="7" xr3:uid="{00000000-0010-0000-0800-000007000000}" name="Outstanding quantity"/>
    <tableColumn id="8" xr3:uid="{00000000-0010-0000-0800-000008000000}" name="Delay cause / sourc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Input_AM1" displayName="Input_AM1" ref="A10:K16" totalsRowShown="0">
  <autoFilter ref="A10:K16" xr:uid="{00000000-0009-0000-0100-00000A000000}"/>
  <tableColumns count="11">
    <tableColumn id="1" xr3:uid="{00000000-0010-0000-0900-000001000000}" name="Unit / serial ID"/>
    <tableColumn id="2" xr3:uid="{00000000-0010-0000-0900-000002000000}" name="Customer code"/>
    <tableColumn id="3" xr3:uid="{00000000-0010-0000-0900-000003000000}" name="Model product code"/>
    <tableColumn id="4" xr3:uid="{00000000-0010-0000-0900-000004000000}" name="Installation date"/>
    <tableColumn id="5" xr3:uid="{00000000-0010-0000-0900-000005000000}" name="Unit status"/>
    <tableColumn id="6" xr3:uid="{00000000-0010-0000-0900-000006000000}" name="Ownership"/>
    <tableColumn id="7" xr3:uid="{00000000-0010-0000-0900-000007000000}" name="Warranty ends"/>
    <tableColumn id="8" xr3:uid="{00000000-0010-0000-0900-000008000000}" name="Agreement held?"/>
    <tableColumn id="9" xr3:uid="{00000000-0010-0000-0900-000009000000}" name="Agreement starts"/>
    <tableColumn id="10" xr3:uid="{00000000-0010-0000-0900-00000A000000}" name="Agreement ends"/>
    <tableColumn id="11" xr3:uid="{00000000-0010-0000-0900-00000B000000}" name="Agreement referenc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Input_AM2" displayName="Input_AM2" ref="A23:G29" totalsRowShown="0">
  <autoFilter ref="A23:G29" xr:uid="{00000000-0009-0000-0100-00000B000000}"/>
  <tableColumns count="7">
    <tableColumn id="1" xr3:uid="{00000000-0010-0000-0A00-000001000000}" name="Model product code"/>
    <tableColumn id="2" xr3:uid="{00000000-0010-0000-0A00-000002000000}" name="Consumable product code"/>
    <tableColumn id="3" xr3:uid="{00000000-0010-0000-0A00-000003000000}" name="Activity counting unit"/>
    <tableColumn id="4" xr3:uid="{00000000-0010-0000-0A00-000004000000}" name="Consumable quantity per activity"/>
    <tableColumn id="5" xr3:uid="{00000000-0010-0000-0A00-000005000000}" name="Consumable counting unit"/>
    <tableColumn id="6" xr3:uid="{00000000-0010-0000-0A00-000006000000}" name="Technical evidence reference"/>
    <tableColumn id="7" xr3:uid="{00000000-0010-0000-0A00-000007000000}" name="Last checke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put_AM3" displayName="Input_AM3" ref="A36:I42" totalsRowShown="0">
  <autoFilter ref="A36:I42" xr:uid="{00000000-0009-0000-0100-00000C000000}"/>
  <tableColumns count="9">
    <tableColumn id="1" xr3:uid="{00000000-0010-0000-0B00-000001000000}" name="Month"/>
    <tableColumn id="2" xr3:uid="{00000000-0010-0000-0B00-000002000000}" name="Unit ID"/>
    <tableColumn id="3" xr3:uid="{00000000-0010-0000-0B00-000003000000}" name="Consumable product code"/>
    <tableColumn id="4" xr3:uid="{00000000-0010-0000-0B00-000004000000}" name="Activity count"/>
    <tableColumn id="5" xr3:uid="{00000000-0010-0000-0B00-000005000000}" name="Practical activity capacity"/>
    <tableColumn id="6" xr3:uid="{00000000-0010-0000-0B00-000006000000}" name="Customer-held quantity"/>
    <tableColumn id="7" xr3:uid="{00000000-0010-0000-0B00-000007000000}" name="Price JOD if unavailable"/>
    <tableColumn id="8" xr3:uid="{00000000-0010-0000-0B00-000008000000}" name="Sales allocation % if needed"/>
    <tableColumn id="9" xr3:uid="{00000000-0010-0000-0B00-000009000000}" name="Evidence / reliability"/>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Input_AM4" displayName="Input_AM4" ref="A49:H55" totalsRowShown="0">
  <autoFilter ref="A49:H55" xr:uid="{00000000-0009-0000-0100-00000D000000}"/>
  <tableColumns count="8">
    <tableColumn id="1" xr3:uid="{00000000-0010-0000-0C00-000001000000}" name="Cost reference"/>
    <tableColumn id="2" xr3:uid="{00000000-0010-0000-0C00-000002000000}" name="Cost date"/>
    <tableColumn id="3" xr3:uid="{00000000-0010-0000-0C00-000003000000}" name="Project / order code"/>
    <tableColumn id="4" xr3:uid="{00000000-0010-0000-0C00-000004000000}" name="Category"/>
    <tableColumn id="5" xr3:uid="{00000000-0010-0000-0C00-000005000000}" name="Cost type"/>
    <tableColumn id="6" xr3:uid="{00000000-0010-0000-0C00-000006000000}" name="Actual or Estimate"/>
    <tableColumn id="7" xr3:uid="{00000000-0010-0000-0C00-000007000000}" name="Amount (JOD)"/>
    <tableColumn id="8" xr3:uid="{00000000-0010-0000-0C00-000008000000}" name="Source / assignment basi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Input_AM5" displayName="Input_AM5" ref="A62:G68" totalsRowShown="0">
  <autoFilter ref="A62:G68" xr:uid="{00000000-0009-0000-0100-00000E000000}"/>
  <tableColumns count="7">
    <tableColumn id="1" xr3:uid="{00000000-0010-0000-0D00-000001000000}" name="Month"/>
    <tableColumn id="2" xr3:uid="{00000000-0010-0000-0D00-000002000000}" name="Indicator"/>
    <tableColumn id="3" xr3:uid="{00000000-0010-0000-0D00-000003000000}" name="Count meeting target / vacancy days"/>
    <tableColumn id="4" xr3:uid="{00000000-0010-0000-0D00-000004000000}" name="Total checked for a rate"/>
    <tableColumn id="5" xr3:uid="{00000000-0010-0000-0D00-000005000000}" name="Target (% or days)"/>
    <tableColumn id="6" xr3:uid="{00000000-0010-0000-0D00-000006000000}" name="Evidence reference"/>
    <tableColumn id="7" xr3:uid="{00000000-0010-0000-0D00-000007000000}" name="Calculated result (% or day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Input_AM6" displayName="Input_AM6" ref="A10:I40">
  <autoFilter ref="A10:I40" xr:uid="{00000000-0009-0000-0100-00000F000000}"/>
  <tableColumns count="9">
    <tableColumn id="1" xr3:uid="{00000000-0010-0000-0E00-000001000000}" name="Customer code"/>
    <tableColumn id="2" xr3:uid="{00000000-0010-0000-0E00-000002000000}" name="Customer name"/>
    <tableColumn id="3" xr3:uid="{00000000-0010-0000-0E00-000003000000}" name="Segment"/>
    <tableColumn id="4" xr3:uid="{00000000-0010-0000-0E00-000004000000}" name="Customer type"/>
    <tableColumn id="5" xr3:uid="{00000000-0010-0000-0E00-000005000000}" name="City"/>
    <tableColumn id="6" xr3:uid="{00000000-0010-0000-0E00-000006000000}" name="Account owner"/>
    <tableColumn id="7" xr3:uid="{00000000-0010-0000-0E00-000007000000}" name="Payment terms (days)"/>
    <tableColumn id="8" xr3:uid="{00000000-0010-0000-0E00-000008000000}" name="Credit limit (JOD)"/>
    <tableColumn id="9" xr3:uid="{00000000-0010-0000-0E00-000009000000}" name="Active?"/>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Input_AM7" displayName="Input_AM7" ref="A47:F77">
  <autoFilter ref="A47:F77" xr:uid="{00000000-0009-0000-0100-000010000000}"/>
  <tableColumns count="6">
    <tableColumn id="1" xr3:uid="{00000000-0010-0000-0F00-000001000000}" name="Year to date at month"/>
    <tableColumn id="2" xr3:uid="{00000000-0010-0000-0F00-000002000000}" name="Customer code"/>
    <tableColumn id="3" xr3:uid="{00000000-0010-0000-0F00-000003000000}" name="Sales target (JOD)"/>
    <tableColumn id="4" xr3:uid="{00000000-0010-0000-0F00-000004000000}" name="Prior-year sales, same period (JOD)"/>
    <tableColumn id="5" xr3:uid="{00000000-0010-0000-0F00-000005000000}" name="Prior-year gross profit, same period (JOD)"/>
    <tableColumn id="6" xr3:uid="{00000000-0010-0000-0F00-000006000000}" name="Source / approval reference"/>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Input_AW3" displayName="Input_AW3" ref="A84:J114">
  <autoFilter ref="A84:J114" xr:uid="{00000000-0009-0000-0100-000011000000}"/>
  <tableColumns count="10">
    <tableColumn id="1" xr3:uid="{00000000-0010-0000-1000-000001000000}" name="Record code (from AW1)"/>
    <tableColumn id="2" xr3:uid="{00000000-0010-0000-1000-000002000000}" name="Authority tender number"/>
    <tableColumn id="3" xr3:uid="{00000000-0010-0000-1000-000003000000}" name="Award date"/>
    <tableColumn id="4" xr3:uid="{00000000-0010-0000-1000-000004000000}" name="Delivered (%)"/>
    <tableColumn id="5" xr3:uid="{00000000-0010-0000-1000-000005000000}" name="Invoiced to date (JOD)"/>
    <tableColumn id="6" xr3:uid="{00000000-0010-0000-1000-000006000000}" name="Collected to date (JOD)"/>
    <tableColumn id="7" xr3:uid="{00000000-0010-0000-1000-000007000000}" name="Guarantee type"/>
    <tableColumn id="8" xr3:uid="{00000000-0010-0000-1000-000008000000}" name="Guarantee amount (JOD)"/>
    <tableColumn id="9" xr3:uid="{00000000-0010-0000-1000-000009000000}" name="Guarantee expiry"/>
    <tableColumn id="10" xr3:uid="{00000000-0010-0000-1000-00000A000000}" name="Outcome / loss reaso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Input_AM8" displayName="Input_AM8" ref="A121:H127">
  <autoFilter ref="A121:H127" xr:uid="{00000000-0009-0000-0100-000012000000}"/>
  <tableColumns count="8">
    <tableColumn id="1" xr3:uid="{00000000-0010-0000-1100-000001000000}" name="Year to date at month"/>
    <tableColumn id="2" xr3:uid="{00000000-0010-0000-1100-000002000000}" name="Tenders submitted"/>
    <tableColumn id="3" xr3:uid="{00000000-0010-0000-1100-000003000000}" name="Won"/>
    <tableColumn id="4" xr3:uid="{00000000-0010-0000-1100-000004000000}" name="Lost"/>
    <tableColumn id="5" xr3:uid="{00000000-0010-0000-1100-000005000000}" name="Pending"/>
    <tableColumn id="6" xr3:uid="{00000000-0010-0000-1100-000006000000}" name="Value submitted (JOD)"/>
    <tableColumn id="7" xr3:uid="{00000000-0010-0000-1100-000007000000}" name="Value won (JOD)"/>
    <tableColumn id="8" xr3:uid="{00000000-0010-0000-1100-000008000000}" name="Counts check"/>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 Id="rId5" Type="http://schemas.openxmlformats.org/officeDocument/2006/relationships/table" Target="../tables/table14.xml"/><Relationship Id="rId4"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74A"/>
  </sheetPr>
  <dimension ref="A1:B46"/>
  <sheetViews>
    <sheetView showGridLines="0" workbookViewId="0">
      <pane ySplit="6" topLeftCell="A7" activePane="bottomLeft" state="frozen"/>
      <selection pane="bottomLeft"/>
    </sheetView>
  </sheetViews>
  <sheetFormatPr defaultRowHeight="14.25"/>
  <cols>
    <col min="1" max="1" width="31" customWidth="1"/>
    <col min="2" max="2" width="108" customWidth="1"/>
  </cols>
  <sheetData>
    <row r="1" spans="1:2" ht="24" customHeight="1">
      <c r="A1" s="1"/>
      <c r="B1" s="1"/>
    </row>
    <row r="2" spans="1:2" ht="33" customHeight="1">
      <c r="A2" s="2" t="s">
        <v>0</v>
      </c>
      <c r="B2" s="1"/>
    </row>
    <row r="3" spans="1:2" ht="24" customHeight="1">
      <c r="A3" s="1"/>
      <c r="B3" s="1"/>
    </row>
    <row r="4" spans="1:2" ht="24" customHeight="1">
      <c r="A4" s="3" t="s">
        <v>1</v>
      </c>
      <c r="B4" s="1"/>
    </row>
    <row r="5" spans="1:2" ht="24" customHeight="1">
      <c r="A5" s="1"/>
      <c r="B5" s="1"/>
    </row>
    <row r="6" spans="1:2" ht="24" customHeight="1">
      <c r="A6" s="1"/>
      <c r="B6" s="1"/>
    </row>
    <row r="7" spans="1:2" ht="45.95" customHeight="1">
      <c r="A7" s="6" t="s">
        <v>2</v>
      </c>
      <c r="B7" s="6" t="s">
        <v>3</v>
      </c>
    </row>
    <row r="8" spans="1:2" ht="44.1" customHeight="1">
      <c r="A8" s="7" t="s">
        <v>4</v>
      </c>
      <c r="B8" s="7" t="s">
        <v>5</v>
      </c>
    </row>
    <row r="9" spans="1:2" ht="44.1" customHeight="1">
      <c r="A9" s="8" t="s">
        <v>6</v>
      </c>
      <c r="B9" s="8" t="s">
        <v>7</v>
      </c>
    </row>
    <row r="10" spans="1:2" ht="44.1" customHeight="1">
      <c r="A10" s="7" t="s">
        <v>8</v>
      </c>
      <c r="B10" s="7" t="s">
        <v>9</v>
      </c>
    </row>
    <row r="11" spans="1:2" ht="44.1" customHeight="1">
      <c r="A11" s="8" t="s">
        <v>10</v>
      </c>
      <c r="B11" s="8" t="s">
        <v>11</v>
      </c>
    </row>
    <row r="12" spans="1:2" ht="44.1" customHeight="1">
      <c r="A12" s="7" t="s">
        <v>12</v>
      </c>
      <c r="B12" s="7" t="s">
        <v>13</v>
      </c>
    </row>
    <row r="13" spans="1:2" ht="44.1" customHeight="1">
      <c r="A13" s="8" t="s">
        <v>14</v>
      </c>
      <c r="B13" s="8" t="s">
        <v>15</v>
      </c>
    </row>
    <row r="14" spans="1:2" ht="44.1" customHeight="1">
      <c r="A14" s="7" t="s">
        <v>16</v>
      </c>
      <c r="B14" s="7" t="s">
        <v>17</v>
      </c>
    </row>
    <row r="15" spans="1:2" ht="44.1" customHeight="1">
      <c r="A15" s="8" t="s">
        <v>18</v>
      </c>
      <c r="B15" s="8" t="s">
        <v>19</v>
      </c>
    </row>
    <row r="16" spans="1:2" ht="44.1" customHeight="1">
      <c r="A16" s="7" t="s">
        <v>20</v>
      </c>
      <c r="B16" s="7" t="s">
        <v>21</v>
      </c>
    </row>
    <row r="17" spans="1:2" ht="44.1" customHeight="1">
      <c r="A17" s="8" t="s">
        <v>22</v>
      </c>
      <c r="B17" s="8" t="s">
        <v>23</v>
      </c>
    </row>
    <row r="18" spans="1:2" ht="44.1" customHeight="1">
      <c r="A18" s="7" t="s">
        <v>24</v>
      </c>
      <c r="B18" s="7" t="s">
        <v>25</v>
      </c>
    </row>
    <row r="19" spans="1:2" ht="44.1" customHeight="1">
      <c r="A19" s="8" t="s">
        <v>26</v>
      </c>
      <c r="B19" s="8" t="s">
        <v>27</v>
      </c>
    </row>
    <row r="20" spans="1:2" ht="44.1" customHeight="1">
      <c r="A20" s="7" t="s">
        <v>28</v>
      </c>
      <c r="B20" s="7" t="s">
        <v>29</v>
      </c>
    </row>
    <row r="21" spans="1:2" ht="44.1" customHeight="1">
      <c r="A21" s="8" t="s">
        <v>30</v>
      </c>
      <c r="B21" s="8" t="s">
        <v>31</v>
      </c>
    </row>
    <row r="22" spans="1:2" ht="44.1" customHeight="1">
      <c r="A22" s="7" t="s">
        <v>32</v>
      </c>
      <c r="B22" s="7" t="s">
        <v>33</v>
      </c>
    </row>
    <row r="23" spans="1:2" ht="44.1" customHeight="1">
      <c r="A23" s="8" t="s">
        <v>34</v>
      </c>
      <c r="B23" s="8" t="s">
        <v>35</v>
      </c>
    </row>
    <row r="24" spans="1:2" ht="44.1" customHeight="1">
      <c r="A24" s="7" t="s">
        <v>36</v>
      </c>
      <c r="B24" s="7" t="s">
        <v>37</v>
      </c>
    </row>
    <row r="25" spans="1:2" ht="44.1" customHeight="1">
      <c r="A25" s="8" t="s">
        <v>38</v>
      </c>
      <c r="B25" s="8" t="s">
        <v>39</v>
      </c>
    </row>
    <row r="26" spans="1:2" ht="44.1" customHeight="1">
      <c r="A26" s="7" t="s">
        <v>40</v>
      </c>
      <c r="B26" s="7" t="s">
        <v>41</v>
      </c>
    </row>
    <row r="27" spans="1:2" ht="24" customHeight="1">
      <c r="A27" s="1"/>
      <c r="B27" s="1"/>
    </row>
    <row r="28" spans="1:2" ht="42" customHeight="1">
      <c r="A28" s="27" t="s">
        <v>42</v>
      </c>
      <c r="B28" s="1">
        <f>COUNTIF('ERP requirements'!G9:G15,"Available")</f>
        <v>0</v>
      </c>
    </row>
    <row r="29" spans="1:2" ht="42" customHeight="1">
      <c r="A29" s="27" t="s">
        <v>43</v>
      </c>
      <c r="B29" s="1">
        <f>7-B28</f>
        <v>7</v>
      </c>
    </row>
    <row r="30" spans="1:2" ht="42" customHeight="1">
      <c r="A30" s="27" t="s">
        <v>44</v>
      </c>
      <c r="B30" s="1">
        <f>COUNTIF('ERP requirements'!G16:G17,"Available")</f>
        <v>0</v>
      </c>
    </row>
    <row r="31" spans="1:2" ht="42" customHeight="1">
      <c r="A31" s="27" t="s">
        <v>45</v>
      </c>
      <c r="B31" s="1">
        <f>2-B30</f>
        <v>2</v>
      </c>
    </row>
    <row r="32" spans="1:2" ht="24" customHeight="1">
      <c r="A32" s="1"/>
      <c r="B32" s="1"/>
    </row>
    <row r="33" spans="1:2" ht="24" customHeight="1">
      <c r="A33" s="4" t="s">
        <v>46</v>
      </c>
      <c r="B33" s="1"/>
    </row>
    <row r="34" spans="1:2" ht="24" customHeight="1">
      <c r="A34" s="4" t="s">
        <v>47</v>
      </c>
      <c r="B34" s="1"/>
    </row>
    <row r="35" spans="1:2" ht="24" customHeight="1">
      <c r="A35" s="1"/>
      <c r="B35" s="1"/>
    </row>
    <row r="36" spans="1:2" ht="24" customHeight="1">
      <c r="A36" s="1"/>
      <c r="B36" s="1"/>
    </row>
    <row r="37" spans="1:2" ht="24" customHeight="1">
      <c r="A37" s="1"/>
      <c r="B37" s="1"/>
    </row>
    <row r="38" spans="1:2" ht="24" customHeight="1">
      <c r="A38" s="1"/>
      <c r="B38" s="1"/>
    </row>
    <row r="39" spans="1:2" ht="24" customHeight="1">
      <c r="A39" s="1"/>
      <c r="B39" s="1"/>
    </row>
    <row r="40" spans="1:2" ht="24" customHeight="1">
      <c r="A40" s="1"/>
      <c r="B40" s="1"/>
    </row>
    <row r="41" spans="1:2" ht="24" customHeight="1">
      <c r="A41" s="1"/>
      <c r="B41" s="1"/>
    </row>
    <row r="42" spans="1:2" ht="24" customHeight="1">
      <c r="A42" s="1"/>
      <c r="B42" s="1"/>
    </row>
    <row r="43" spans="1:2" ht="24" customHeight="1">
      <c r="A43" s="1"/>
      <c r="B43" s="1"/>
    </row>
    <row r="44" spans="1:2" ht="24" customHeight="1">
      <c r="A44" s="1"/>
      <c r="B44" s="1"/>
    </row>
    <row r="45" spans="1:2" ht="24" customHeight="1">
      <c r="A45" s="1"/>
      <c r="B45" s="1"/>
    </row>
    <row r="46" spans="1:2" ht="24" customHeight="1">
      <c r="A46" s="1"/>
      <c r="B4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6374A"/>
  </sheetPr>
  <dimension ref="A1:H40"/>
  <sheetViews>
    <sheetView showGridLines="0" workbookViewId="0">
      <pane ySplit="6" topLeftCell="A7" activePane="bottomLeft" state="frozen"/>
      <selection pane="bottomLeft"/>
    </sheetView>
  </sheetViews>
  <sheetFormatPr defaultRowHeight="14.25"/>
  <cols>
    <col min="1" max="1" width="9" customWidth="1"/>
    <col min="2" max="2" width="13" customWidth="1"/>
    <col min="3" max="3" width="31" customWidth="1"/>
    <col min="4" max="4" width="35" customWidth="1"/>
    <col min="5" max="5" width="49" customWidth="1"/>
    <col min="6" max="6" width="15" customWidth="1"/>
    <col min="7" max="7" width="65" customWidth="1"/>
    <col min="8" max="8" width="57" customWidth="1"/>
  </cols>
  <sheetData>
    <row r="1" spans="1:8" ht="24" customHeight="1">
      <c r="A1" s="1"/>
      <c r="B1" s="1"/>
      <c r="C1" s="1"/>
      <c r="D1" s="1"/>
      <c r="E1" s="1"/>
      <c r="F1" s="1"/>
      <c r="G1" s="1"/>
      <c r="H1" s="1"/>
    </row>
    <row r="2" spans="1:8" ht="33" customHeight="1">
      <c r="A2" s="2" t="s">
        <v>48</v>
      </c>
      <c r="B2" s="1"/>
      <c r="C2" s="1"/>
      <c r="D2" s="1"/>
      <c r="E2" s="1"/>
      <c r="F2" s="1"/>
      <c r="G2" s="1"/>
      <c r="H2" s="1"/>
    </row>
    <row r="3" spans="1:8" ht="24" customHeight="1">
      <c r="A3" s="1"/>
      <c r="B3" s="1"/>
      <c r="C3" s="1"/>
      <c r="D3" s="1"/>
      <c r="E3" s="1"/>
      <c r="F3" s="1"/>
      <c r="G3" s="1"/>
      <c r="H3" s="1"/>
    </row>
    <row r="4" spans="1:8" ht="24" customHeight="1">
      <c r="A4" s="3" t="s">
        <v>49</v>
      </c>
      <c r="B4" s="1"/>
      <c r="C4" s="1"/>
      <c r="D4" s="1"/>
      <c r="E4" s="1"/>
      <c r="F4" s="1"/>
      <c r="G4" s="1"/>
      <c r="H4" s="1"/>
    </row>
    <row r="5" spans="1:8" ht="24" customHeight="1">
      <c r="A5" s="4" t="s">
        <v>50</v>
      </c>
      <c r="B5" s="1"/>
      <c r="C5" s="1"/>
      <c r="D5" s="1"/>
      <c r="E5" s="1"/>
      <c r="F5" s="1"/>
      <c r="G5" s="1"/>
      <c r="H5" s="1"/>
    </row>
    <row r="6" spans="1:8" ht="24" customHeight="1">
      <c r="A6" s="1"/>
      <c r="B6" s="1"/>
      <c r="C6" s="1"/>
      <c r="D6" s="1"/>
      <c r="E6" s="1"/>
      <c r="F6" s="1"/>
      <c r="G6" s="1"/>
      <c r="H6" s="1"/>
    </row>
    <row r="7" spans="1:8" ht="24" customHeight="1">
      <c r="A7" s="1"/>
      <c r="B7" s="1"/>
      <c r="C7" s="1"/>
      <c r="D7" s="1"/>
      <c r="E7" s="1"/>
      <c r="F7" s="1"/>
      <c r="G7" s="1"/>
      <c r="H7" s="1"/>
    </row>
    <row r="8" spans="1:8" ht="45.95" customHeight="1">
      <c r="A8" s="6" t="s">
        <v>51</v>
      </c>
      <c r="B8" s="6" t="s">
        <v>52</v>
      </c>
      <c r="C8" s="6" t="s">
        <v>53</v>
      </c>
      <c r="D8" s="6" t="s">
        <v>54</v>
      </c>
      <c r="E8" s="6" t="s">
        <v>55</v>
      </c>
      <c r="F8" s="6" t="s">
        <v>56</v>
      </c>
      <c r="G8" s="6" t="s">
        <v>57</v>
      </c>
      <c r="H8" s="6" t="s">
        <v>58</v>
      </c>
    </row>
    <row r="9" spans="1:8" ht="92.1" customHeight="1">
      <c r="A9" s="7" t="s">
        <v>59</v>
      </c>
      <c r="B9" s="7" t="s">
        <v>60</v>
      </c>
      <c r="C9" s="7" t="s">
        <v>61</v>
      </c>
      <c r="D9" s="7" t="s">
        <v>62</v>
      </c>
      <c r="E9" s="7" t="s">
        <v>63</v>
      </c>
      <c r="F9" s="7" t="s">
        <v>64</v>
      </c>
      <c r="G9" s="7" t="s">
        <v>65</v>
      </c>
      <c r="H9" s="7" t="s">
        <v>66</v>
      </c>
    </row>
    <row r="10" spans="1:8" ht="92.1" customHeight="1">
      <c r="A10" s="8" t="s">
        <v>67</v>
      </c>
      <c r="B10" s="8" t="s">
        <v>60</v>
      </c>
      <c r="C10" s="8" t="s">
        <v>68</v>
      </c>
      <c r="D10" s="8" t="s">
        <v>69</v>
      </c>
      <c r="E10" s="8" t="s">
        <v>70</v>
      </c>
      <c r="F10" s="8" t="s">
        <v>64</v>
      </c>
      <c r="G10" s="8" t="s">
        <v>71</v>
      </c>
      <c r="H10" s="8" t="s">
        <v>72</v>
      </c>
    </row>
    <row r="11" spans="1:8" ht="92.1" customHeight="1">
      <c r="A11" s="7" t="s">
        <v>73</v>
      </c>
      <c r="B11" s="7" t="s">
        <v>60</v>
      </c>
      <c r="C11" s="7" t="s">
        <v>74</v>
      </c>
      <c r="D11" s="7" t="s">
        <v>75</v>
      </c>
      <c r="E11" s="7" t="s">
        <v>76</v>
      </c>
      <c r="F11" s="7" t="s">
        <v>64</v>
      </c>
      <c r="G11" s="7" t="s">
        <v>77</v>
      </c>
      <c r="H11" s="7" t="s">
        <v>78</v>
      </c>
    </row>
    <row r="12" spans="1:8" ht="92.1" customHeight="1">
      <c r="A12" s="8" t="s">
        <v>79</v>
      </c>
      <c r="B12" s="8" t="s">
        <v>60</v>
      </c>
      <c r="C12" s="8" t="s">
        <v>80</v>
      </c>
      <c r="D12" s="8" t="s">
        <v>81</v>
      </c>
      <c r="E12" s="8" t="s">
        <v>82</v>
      </c>
      <c r="F12" s="8" t="s">
        <v>64</v>
      </c>
      <c r="G12" s="8" t="s">
        <v>83</v>
      </c>
      <c r="H12" s="8" t="s">
        <v>84</v>
      </c>
    </row>
    <row r="13" spans="1:8" ht="92.1" customHeight="1">
      <c r="A13" s="7" t="s">
        <v>85</v>
      </c>
      <c r="B13" s="7" t="s">
        <v>60</v>
      </c>
      <c r="C13" s="7" t="s">
        <v>86</v>
      </c>
      <c r="D13" s="7" t="s">
        <v>87</v>
      </c>
      <c r="E13" s="7" t="s">
        <v>88</v>
      </c>
      <c r="F13" s="7" t="s">
        <v>64</v>
      </c>
      <c r="G13" s="7" t="s">
        <v>89</v>
      </c>
      <c r="H13" s="7" t="s">
        <v>90</v>
      </c>
    </row>
    <row r="14" spans="1:8" ht="92.1" customHeight="1">
      <c r="A14" s="8" t="s">
        <v>91</v>
      </c>
      <c r="B14" s="8" t="s">
        <v>60</v>
      </c>
      <c r="C14" s="8" t="s">
        <v>92</v>
      </c>
      <c r="D14" s="8" t="s">
        <v>93</v>
      </c>
      <c r="E14" s="8" t="s">
        <v>94</v>
      </c>
      <c r="F14" s="8" t="s">
        <v>95</v>
      </c>
      <c r="G14" s="8" t="s">
        <v>96</v>
      </c>
      <c r="H14" s="8" t="s">
        <v>97</v>
      </c>
    </row>
    <row r="15" spans="1:8" ht="92.1" customHeight="1">
      <c r="A15" s="7" t="s">
        <v>98</v>
      </c>
      <c r="B15" s="7" t="s">
        <v>99</v>
      </c>
      <c r="C15" s="7" t="s">
        <v>100</v>
      </c>
      <c r="D15" s="7" t="s">
        <v>101</v>
      </c>
      <c r="E15" s="7" t="s">
        <v>102</v>
      </c>
      <c r="F15" s="7" t="s">
        <v>95</v>
      </c>
      <c r="G15" s="7" t="s">
        <v>103</v>
      </c>
      <c r="H15" s="7" t="s">
        <v>104</v>
      </c>
    </row>
    <row r="16" spans="1:8" ht="92.1" customHeight="1">
      <c r="A16" s="8" t="s">
        <v>105</v>
      </c>
      <c r="B16" s="8" t="s">
        <v>99</v>
      </c>
      <c r="C16" s="8" t="s">
        <v>106</v>
      </c>
      <c r="D16" s="8" t="s">
        <v>107</v>
      </c>
      <c r="E16" s="8" t="s">
        <v>108</v>
      </c>
      <c r="F16" s="8" t="s">
        <v>64</v>
      </c>
      <c r="G16" s="8" t="s">
        <v>109</v>
      </c>
      <c r="H16" s="8" t="s">
        <v>110</v>
      </c>
    </row>
    <row r="17" spans="1:8" ht="92.1" customHeight="1">
      <c r="A17" s="7" t="s">
        <v>111</v>
      </c>
      <c r="B17" s="7" t="s">
        <v>99</v>
      </c>
      <c r="C17" s="7" t="s">
        <v>112</v>
      </c>
      <c r="D17" s="7" t="s">
        <v>113</v>
      </c>
      <c r="E17" s="7" t="s">
        <v>114</v>
      </c>
      <c r="F17" s="7" t="s">
        <v>95</v>
      </c>
      <c r="G17" s="7" t="s">
        <v>115</v>
      </c>
      <c r="H17" s="7" t="s">
        <v>116</v>
      </c>
    </row>
    <row r="18" spans="1:8" ht="92.1" customHeight="1">
      <c r="A18" s="8" t="s">
        <v>117</v>
      </c>
      <c r="B18" s="8" t="s">
        <v>99</v>
      </c>
      <c r="C18" s="8" t="s">
        <v>118</v>
      </c>
      <c r="D18" s="8" t="s">
        <v>119</v>
      </c>
      <c r="E18" s="8" t="s">
        <v>120</v>
      </c>
      <c r="F18" s="8" t="s">
        <v>95</v>
      </c>
      <c r="G18" s="8" t="s">
        <v>121</v>
      </c>
      <c r="H18" s="8" t="s">
        <v>122</v>
      </c>
    </row>
    <row r="19" spans="1:8" ht="92.1" customHeight="1">
      <c r="A19" s="7" t="s">
        <v>123</v>
      </c>
      <c r="B19" s="7" t="s">
        <v>99</v>
      </c>
      <c r="C19" s="7" t="s">
        <v>124</v>
      </c>
      <c r="D19" s="7" t="s">
        <v>125</v>
      </c>
      <c r="E19" s="7" t="s">
        <v>126</v>
      </c>
      <c r="F19" s="7" t="s">
        <v>95</v>
      </c>
      <c r="G19" s="7" t="s">
        <v>127</v>
      </c>
      <c r="H19" s="7" t="s">
        <v>128</v>
      </c>
    </row>
    <row r="20" spans="1:8" ht="92.1" customHeight="1">
      <c r="A20" s="8" t="s">
        <v>129</v>
      </c>
      <c r="B20" s="8" t="s">
        <v>99</v>
      </c>
      <c r="C20" s="8" t="s">
        <v>130</v>
      </c>
      <c r="D20" s="8" t="s">
        <v>131</v>
      </c>
      <c r="E20" s="8" t="s">
        <v>132</v>
      </c>
      <c r="F20" s="8" t="s">
        <v>95</v>
      </c>
      <c r="G20" s="8" t="s">
        <v>133</v>
      </c>
      <c r="H20" s="8" t="s">
        <v>134</v>
      </c>
    </row>
    <row r="21" spans="1:8" ht="92.1" customHeight="1">
      <c r="A21" s="7" t="s">
        <v>135</v>
      </c>
      <c r="B21" s="7" t="s">
        <v>99</v>
      </c>
      <c r="C21" s="7" t="s">
        <v>136</v>
      </c>
      <c r="D21" s="7" t="s">
        <v>137</v>
      </c>
      <c r="E21" s="7" t="s">
        <v>138</v>
      </c>
      <c r="F21" s="7" t="s">
        <v>95</v>
      </c>
      <c r="G21" s="7" t="s">
        <v>139</v>
      </c>
      <c r="H21" s="7" t="s">
        <v>140</v>
      </c>
    </row>
    <row r="22" spans="1:8" ht="92.1" customHeight="1">
      <c r="A22" s="8" t="s">
        <v>141</v>
      </c>
      <c r="B22" s="8" t="s">
        <v>99</v>
      </c>
      <c r="C22" s="8" t="s">
        <v>142</v>
      </c>
      <c r="D22" s="8" t="s">
        <v>143</v>
      </c>
      <c r="E22" s="8" t="s">
        <v>144</v>
      </c>
      <c r="F22" s="8" t="s">
        <v>95</v>
      </c>
      <c r="G22" s="8" t="s">
        <v>145</v>
      </c>
      <c r="H22" s="8" t="s">
        <v>146</v>
      </c>
    </row>
    <row r="23" spans="1:8" ht="92.1" customHeight="1">
      <c r="A23" s="7" t="s">
        <v>147</v>
      </c>
      <c r="B23" s="7" t="s">
        <v>60</v>
      </c>
      <c r="C23" s="7" t="s">
        <v>148</v>
      </c>
      <c r="D23" s="7" t="s">
        <v>149</v>
      </c>
      <c r="E23" s="7" t="s">
        <v>150</v>
      </c>
      <c r="F23" s="7" t="s">
        <v>95</v>
      </c>
      <c r="G23" s="7" t="s">
        <v>151</v>
      </c>
      <c r="H23" s="7" t="s">
        <v>152</v>
      </c>
    </row>
    <row r="24" spans="1:8" ht="117.95" customHeight="1">
      <c r="A24" s="7" t="s">
        <v>153</v>
      </c>
      <c r="B24" s="7" t="s">
        <v>60</v>
      </c>
      <c r="C24" s="7" t="s">
        <v>154</v>
      </c>
      <c r="D24" s="7" t="s">
        <v>155</v>
      </c>
      <c r="E24" s="7" t="s">
        <v>156</v>
      </c>
      <c r="F24" s="7" t="s">
        <v>64</v>
      </c>
      <c r="G24" s="7" t="s">
        <v>157</v>
      </c>
      <c r="H24" s="7" t="s">
        <v>158</v>
      </c>
    </row>
    <row r="25" spans="1:8" ht="117.95" customHeight="1">
      <c r="A25" s="8" t="s">
        <v>159</v>
      </c>
      <c r="B25" s="8" t="s">
        <v>99</v>
      </c>
      <c r="C25" s="8" t="s">
        <v>160</v>
      </c>
      <c r="D25" s="8" t="s">
        <v>161</v>
      </c>
      <c r="E25" s="8" t="s">
        <v>162</v>
      </c>
      <c r="F25" s="8" t="s">
        <v>95</v>
      </c>
      <c r="G25" s="8" t="s">
        <v>163</v>
      </c>
      <c r="H25" s="8" t="s">
        <v>164</v>
      </c>
    </row>
    <row r="26" spans="1:8" ht="117.95" customHeight="1">
      <c r="A26" s="7" t="s">
        <v>165</v>
      </c>
      <c r="B26" s="7" t="s">
        <v>99</v>
      </c>
      <c r="C26" s="7" t="s">
        <v>166</v>
      </c>
      <c r="D26" s="7" t="s">
        <v>167</v>
      </c>
      <c r="E26" s="7" t="s">
        <v>168</v>
      </c>
      <c r="F26" s="7" t="s">
        <v>64</v>
      </c>
      <c r="G26" s="7" t="s">
        <v>169</v>
      </c>
      <c r="H26" s="7" t="s">
        <v>170</v>
      </c>
    </row>
    <row r="27" spans="1:8" ht="117.95" customHeight="1">
      <c r="A27" s="8" t="s">
        <v>171</v>
      </c>
      <c r="B27" s="8" t="s">
        <v>99</v>
      </c>
      <c r="C27" s="8" t="s">
        <v>172</v>
      </c>
      <c r="D27" s="8" t="s">
        <v>107</v>
      </c>
      <c r="E27" s="8" t="s">
        <v>173</v>
      </c>
      <c r="F27" s="8" t="s">
        <v>64</v>
      </c>
      <c r="G27" s="8" t="s">
        <v>174</v>
      </c>
      <c r="H27" s="8" t="s">
        <v>175</v>
      </c>
    </row>
    <row r="28" spans="1:8" ht="24" customHeight="1">
      <c r="A28" s="1"/>
      <c r="B28" s="1"/>
      <c r="C28" s="1"/>
      <c r="D28" s="1"/>
      <c r="E28" s="1"/>
      <c r="F28" s="1"/>
      <c r="G28" s="1"/>
      <c r="H28" s="1"/>
    </row>
    <row r="29" spans="1:8" ht="24" customHeight="1">
      <c r="A29" s="1"/>
      <c r="B29" s="1"/>
      <c r="C29" s="1"/>
      <c r="D29" s="1"/>
      <c r="E29" s="1"/>
      <c r="F29" s="1"/>
      <c r="G29" s="1"/>
      <c r="H29" s="1"/>
    </row>
    <row r="30" spans="1:8" ht="24" customHeight="1">
      <c r="A30" s="1"/>
      <c r="B30" s="1"/>
      <c r="C30" s="1"/>
      <c r="D30" s="1"/>
      <c r="E30" s="1"/>
      <c r="F30" s="1"/>
      <c r="G30" s="1"/>
      <c r="H30" s="1"/>
    </row>
    <row r="31" spans="1:8" ht="24" customHeight="1">
      <c r="A31" s="1"/>
      <c r="B31" s="1"/>
      <c r="C31" s="1"/>
      <c r="D31" s="1"/>
      <c r="E31" s="1"/>
      <c r="F31" s="1"/>
      <c r="G31" s="1"/>
      <c r="H31" s="1"/>
    </row>
    <row r="32" spans="1:8" ht="24" customHeight="1">
      <c r="A32" s="1"/>
      <c r="B32" s="1"/>
      <c r="C32" s="1"/>
      <c r="D32" s="1"/>
      <c r="E32" s="1"/>
      <c r="F32" s="1"/>
      <c r="G32" s="1"/>
      <c r="H32" s="1"/>
    </row>
    <row r="33" spans="1:8" ht="24" customHeight="1">
      <c r="A33" s="1"/>
      <c r="B33" s="1"/>
      <c r="C33" s="1"/>
      <c r="D33" s="1"/>
      <c r="E33" s="1"/>
      <c r="F33" s="1"/>
      <c r="G33" s="1"/>
      <c r="H33" s="1"/>
    </row>
    <row r="34" spans="1:8" ht="24" customHeight="1">
      <c r="A34" s="1"/>
      <c r="B34" s="1"/>
      <c r="C34" s="1"/>
      <c r="D34" s="1"/>
      <c r="E34" s="1"/>
      <c r="F34" s="1"/>
      <c r="G34" s="1"/>
      <c r="H34" s="1"/>
    </row>
    <row r="35" spans="1:8" ht="24" customHeight="1">
      <c r="A35" s="1"/>
      <c r="B35" s="1"/>
      <c r="C35" s="1"/>
      <c r="D35" s="1"/>
      <c r="E35" s="1"/>
      <c r="F35" s="1"/>
      <c r="G35" s="1"/>
      <c r="H35" s="1"/>
    </row>
    <row r="36" spans="1:8" ht="24" customHeight="1">
      <c r="A36" s="1"/>
      <c r="B36" s="1"/>
      <c r="C36" s="1"/>
      <c r="D36" s="1"/>
      <c r="E36" s="1"/>
      <c r="F36" s="1"/>
      <c r="G36" s="1"/>
      <c r="H36" s="1"/>
    </row>
    <row r="37" spans="1:8" ht="24" customHeight="1">
      <c r="A37" s="1"/>
      <c r="B37" s="1"/>
      <c r="C37" s="1"/>
      <c r="D37" s="1"/>
      <c r="E37" s="1"/>
      <c r="F37" s="1"/>
      <c r="G37" s="1"/>
      <c r="H37" s="1"/>
    </row>
    <row r="38" spans="1:8" ht="24" customHeight="1">
      <c r="A38" s="1"/>
      <c r="B38" s="1"/>
      <c r="C38" s="1"/>
      <c r="D38" s="1"/>
      <c r="E38" s="1"/>
      <c r="F38" s="1"/>
      <c r="G38" s="1"/>
      <c r="H38" s="1"/>
    </row>
    <row r="39" spans="1:8" ht="24" customHeight="1">
      <c r="A39" s="1"/>
      <c r="B39" s="1"/>
      <c r="C39" s="1"/>
      <c r="D39" s="1"/>
      <c r="E39" s="1"/>
      <c r="F39" s="1"/>
      <c r="G39" s="1"/>
      <c r="H39" s="1"/>
    </row>
    <row r="40" spans="1:8" ht="24" customHeight="1">
      <c r="A40" s="1"/>
      <c r="B40" s="1"/>
      <c r="C40" s="1"/>
      <c r="D40" s="1"/>
      <c r="E40" s="1"/>
      <c r="F40" s="1"/>
      <c r="G40" s="1"/>
      <c r="H4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9A987"/>
  </sheetPr>
  <dimension ref="A1:H58"/>
  <sheetViews>
    <sheetView showGridLines="0" workbookViewId="0">
      <pane ySplit="6" topLeftCell="A7" activePane="bottomLeft" state="frozen"/>
      <selection pane="bottomLeft"/>
    </sheetView>
  </sheetViews>
  <sheetFormatPr defaultRowHeight="14.25"/>
  <cols>
    <col min="1" max="1" width="9" customWidth="1"/>
    <col min="2" max="2" width="13" customWidth="1"/>
    <col min="3" max="3" width="29" customWidth="1"/>
    <col min="4" max="4" width="77" customWidth="1"/>
    <col min="5" max="5" width="15" customWidth="1"/>
    <col min="6" max="6" width="25" customWidth="1"/>
    <col min="7" max="7" width="20" customWidth="1"/>
    <col min="8" max="8" width="42" customWidth="1"/>
  </cols>
  <sheetData>
    <row r="1" spans="1:8" ht="24" customHeight="1">
      <c r="A1" s="1"/>
      <c r="B1" s="1"/>
      <c r="C1" s="1"/>
      <c r="D1" s="1"/>
      <c r="E1" s="1"/>
      <c r="F1" s="1"/>
      <c r="G1" s="1"/>
      <c r="H1" s="1"/>
    </row>
    <row r="2" spans="1:8" ht="33" customHeight="1">
      <c r="A2" s="2" t="s">
        <v>176</v>
      </c>
      <c r="B2" s="1"/>
      <c r="C2" s="1"/>
      <c r="D2" s="1"/>
      <c r="E2" s="1"/>
      <c r="F2" s="1"/>
      <c r="G2" s="1"/>
      <c r="H2" s="1"/>
    </row>
    <row r="3" spans="1:8" ht="24" customHeight="1">
      <c r="A3" s="1"/>
      <c r="B3" s="1"/>
      <c r="C3" s="1"/>
      <c r="D3" s="1"/>
      <c r="E3" s="1"/>
      <c r="F3" s="1"/>
      <c r="G3" s="1"/>
      <c r="H3" s="1"/>
    </row>
    <row r="4" spans="1:8" ht="24" customHeight="1">
      <c r="A4" s="3" t="s">
        <v>177</v>
      </c>
      <c r="B4" s="1"/>
      <c r="C4" s="1"/>
      <c r="D4" s="1"/>
      <c r="E4" s="1"/>
      <c r="F4" s="1"/>
      <c r="G4" s="1"/>
      <c r="H4" s="1"/>
    </row>
    <row r="5" spans="1:8" ht="24" customHeight="1">
      <c r="A5" s="4" t="s">
        <v>178</v>
      </c>
      <c r="B5" s="1"/>
      <c r="C5" s="1"/>
      <c r="D5" s="1"/>
      <c r="E5" s="1"/>
      <c r="F5" s="1"/>
      <c r="G5" s="1"/>
      <c r="H5" s="1"/>
    </row>
    <row r="6" spans="1:8" ht="24" customHeight="1">
      <c r="A6" s="1"/>
      <c r="B6" s="1"/>
      <c r="C6" s="1"/>
      <c r="D6" s="1"/>
      <c r="E6" s="1"/>
      <c r="F6" s="1"/>
      <c r="G6" s="1"/>
      <c r="H6" s="1"/>
    </row>
    <row r="7" spans="1:8" ht="24" customHeight="1">
      <c r="A7" s="1"/>
      <c r="B7" s="1"/>
      <c r="C7" s="1"/>
      <c r="D7" s="1"/>
      <c r="E7" s="1"/>
      <c r="F7" s="1"/>
      <c r="G7" s="1"/>
      <c r="H7" s="1"/>
    </row>
    <row r="8" spans="1:8" ht="45.95" customHeight="1">
      <c r="A8" s="6" t="s">
        <v>179</v>
      </c>
      <c r="B8" s="6" t="s">
        <v>52</v>
      </c>
      <c r="C8" s="6" t="s">
        <v>180</v>
      </c>
      <c r="D8" s="6" t="s">
        <v>181</v>
      </c>
      <c r="E8" s="6" t="s">
        <v>182</v>
      </c>
      <c r="F8" s="6" t="s">
        <v>183</v>
      </c>
      <c r="G8" s="6" t="s">
        <v>184</v>
      </c>
      <c r="H8" s="6" t="s">
        <v>185</v>
      </c>
    </row>
    <row r="9" spans="1:8" ht="87.95" customHeight="1">
      <c r="A9" s="7" t="s">
        <v>186</v>
      </c>
      <c r="B9" s="7" t="s">
        <v>60</v>
      </c>
      <c r="C9" s="7" t="s">
        <v>187</v>
      </c>
      <c r="D9" s="7" t="s">
        <v>188</v>
      </c>
      <c r="E9" s="7" t="s">
        <v>95</v>
      </c>
      <c r="F9" s="7" t="s">
        <v>189</v>
      </c>
      <c r="G9" s="9" t="s">
        <v>190</v>
      </c>
      <c r="H9" s="9"/>
    </row>
    <row r="10" spans="1:8" ht="87.95" customHeight="1">
      <c r="A10" s="8" t="s">
        <v>191</v>
      </c>
      <c r="B10" s="8" t="s">
        <v>60</v>
      </c>
      <c r="C10" s="8" t="s">
        <v>192</v>
      </c>
      <c r="D10" s="8" t="s">
        <v>193</v>
      </c>
      <c r="E10" s="8" t="s">
        <v>95</v>
      </c>
      <c r="F10" s="8" t="s">
        <v>194</v>
      </c>
      <c r="G10" s="9" t="s">
        <v>190</v>
      </c>
      <c r="H10" s="9"/>
    </row>
    <row r="11" spans="1:8" ht="87.95" customHeight="1">
      <c r="A11" s="7" t="s">
        <v>195</v>
      </c>
      <c r="B11" s="7" t="s">
        <v>60</v>
      </c>
      <c r="C11" s="7" t="s">
        <v>196</v>
      </c>
      <c r="D11" s="7" t="s">
        <v>197</v>
      </c>
      <c r="E11" s="7" t="s">
        <v>64</v>
      </c>
      <c r="F11" s="7" t="s">
        <v>198</v>
      </c>
      <c r="G11" s="9" t="s">
        <v>190</v>
      </c>
      <c r="H11" s="9"/>
    </row>
    <row r="12" spans="1:8" ht="87.95" customHeight="1">
      <c r="A12" s="8" t="s">
        <v>199</v>
      </c>
      <c r="B12" s="8" t="s">
        <v>60</v>
      </c>
      <c r="C12" s="8" t="s">
        <v>200</v>
      </c>
      <c r="D12" s="8" t="s">
        <v>201</v>
      </c>
      <c r="E12" s="8" t="s">
        <v>64</v>
      </c>
      <c r="F12" s="8" t="s">
        <v>198</v>
      </c>
      <c r="G12" s="9" t="s">
        <v>190</v>
      </c>
      <c r="H12" s="9"/>
    </row>
    <row r="13" spans="1:8" ht="87.95" customHeight="1">
      <c r="A13" s="7" t="s">
        <v>202</v>
      </c>
      <c r="B13" s="7" t="s">
        <v>60</v>
      </c>
      <c r="C13" s="7" t="s">
        <v>203</v>
      </c>
      <c r="D13" s="7" t="s">
        <v>204</v>
      </c>
      <c r="E13" s="7" t="s">
        <v>64</v>
      </c>
      <c r="F13" s="7" t="s">
        <v>198</v>
      </c>
      <c r="G13" s="9" t="s">
        <v>190</v>
      </c>
      <c r="H13" s="9"/>
    </row>
    <row r="14" spans="1:8" ht="87.95" customHeight="1">
      <c r="A14" s="8" t="s">
        <v>205</v>
      </c>
      <c r="B14" s="8" t="s">
        <v>60</v>
      </c>
      <c r="C14" s="8" t="s">
        <v>206</v>
      </c>
      <c r="D14" s="8" t="s">
        <v>207</v>
      </c>
      <c r="E14" s="8" t="s">
        <v>64</v>
      </c>
      <c r="F14" s="8" t="s">
        <v>208</v>
      </c>
      <c r="G14" s="9" t="s">
        <v>190</v>
      </c>
      <c r="H14" s="9"/>
    </row>
    <row r="15" spans="1:8" ht="87.95" customHeight="1">
      <c r="A15" s="7" t="s">
        <v>209</v>
      </c>
      <c r="B15" s="7" t="s">
        <v>60</v>
      </c>
      <c r="C15" s="7" t="s">
        <v>210</v>
      </c>
      <c r="D15" s="7" t="s">
        <v>211</v>
      </c>
      <c r="E15" s="7" t="s">
        <v>64</v>
      </c>
      <c r="F15" s="7" t="s">
        <v>208</v>
      </c>
      <c r="G15" s="9" t="s">
        <v>190</v>
      </c>
      <c r="H15" s="9"/>
    </row>
    <row r="16" spans="1:8" ht="87.95" customHeight="1">
      <c r="A16" s="8" t="s">
        <v>212</v>
      </c>
      <c r="B16" s="8" t="s">
        <v>99</v>
      </c>
      <c r="C16" s="8" t="s">
        <v>213</v>
      </c>
      <c r="D16" s="8" t="s">
        <v>214</v>
      </c>
      <c r="E16" s="8" t="s">
        <v>64</v>
      </c>
      <c r="F16" s="8" t="s">
        <v>215</v>
      </c>
      <c r="G16" s="9" t="s">
        <v>190</v>
      </c>
      <c r="H16" s="9"/>
    </row>
    <row r="17" spans="1:8" ht="87.95" customHeight="1">
      <c r="A17" s="7" t="s">
        <v>216</v>
      </c>
      <c r="B17" s="7" t="s">
        <v>99</v>
      </c>
      <c r="C17" s="7" t="s">
        <v>217</v>
      </c>
      <c r="D17" s="7" t="s">
        <v>218</v>
      </c>
      <c r="E17" s="7" t="s">
        <v>95</v>
      </c>
      <c r="F17" s="7" t="s">
        <v>198</v>
      </c>
      <c r="G17" s="9" t="s">
        <v>190</v>
      </c>
      <c r="H17" s="9"/>
    </row>
    <row r="18" spans="1:8" ht="87.95" customHeight="1">
      <c r="A18" s="8" t="s">
        <v>219</v>
      </c>
      <c r="B18" s="8" t="s">
        <v>99</v>
      </c>
      <c r="C18" s="8" t="s">
        <v>220</v>
      </c>
      <c r="D18" s="8" t="s">
        <v>221</v>
      </c>
      <c r="E18" s="8" t="s">
        <v>64</v>
      </c>
      <c r="F18" s="8" t="s">
        <v>222</v>
      </c>
      <c r="G18" s="9" t="s">
        <v>190</v>
      </c>
      <c r="H18" s="9"/>
    </row>
    <row r="19" spans="1:8" ht="87.95" customHeight="1">
      <c r="A19" s="7" t="s">
        <v>223</v>
      </c>
      <c r="B19" s="7" t="s">
        <v>99</v>
      </c>
      <c r="C19" s="7" t="s">
        <v>224</v>
      </c>
      <c r="D19" s="7" t="s">
        <v>225</v>
      </c>
      <c r="E19" s="7" t="s">
        <v>95</v>
      </c>
      <c r="F19" s="7" t="s">
        <v>226</v>
      </c>
      <c r="G19" s="9" t="s">
        <v>190</v>
      </c>
      <c r="H19" s="9"/>
    </row>
    <row r="20" spans="1:8" ht="87.95" customHeight="1">
      <c r="A20" s="8" t="s">
        <v>227</v>
      </c>
      <c r="B20" s="8" t="s">
        <v>99</v>
      </c>
      <c r="C20" s="8" t="s">
        <v>228</v>
      </c>
      <c r="D20" s="8" t="s">
        <v>229</v>
      </c>
      <c r="E20" s="8" t="s">
        <v>95</v>
      </c>
      <c r="F20" s="8" t="s">
        <v>226</v>
      </c>
      <c r="G20" s="9" t="s">
        <v>190</v>
      </c>
      <c r="H20" s="9"/>
    </row>
    <row r="21" spans="1:8" ht="87.95" customHeight="1">
      <c r="A21" s="7" t="s">
        <v>230</v>
      </c>
      <c r="B21" s="7" t="s">
        <v>99</v>
      </c>
      <c r="C21" s="7" t="s">
        <v>231</v>
      </c>
      <c r="D21" s="7" t="s">
        <v>232</v>
      </c>
      <c r="E21" s="7" t="s">
        <v>95</v>
      </c>
      <c r="F21" s="7" t="s">
        <v>233</v>
      </c>
      <c r="G21" s="9" t="s">
        <v>190</v>
      </c>
      <c r="H21" s="9"/>
    </row>
    <row r="22" spans="1:8" ht="24" customHeight="1">
      <c r="A22" s="1"/>
      <c r="B22" s="1"/>
      <c r="C22" s="1"/>
      <c r="D22" s="1"/>
      <c r="E22" s="1"/>
      <c r="F22" s="1"/>
      <c r="G22" s="1"/>
      <c r="H22" s="1"/>
    </row>
    <row r="23" spans="1:8" ht="24" customHeight="1">
      <c r="A23" s="1"/>
      <c r="B23" s="1"/>
      <c r="C23" s="1"/>
      <c r="D23" s="1"/>
      <c r="E23" s="1"/>
      <c r="F23" s="1"/>
      <c r="G23" s="1"/>
      <c r="H23" s="1"/>
    </row>
    <row r="24" spans="1:8" ht="24" customHeight="1">
      <c r="A24" s="4" t="s">
        <v>234</v>
      </c>
      <c r="B24" s="1"/>
      <c r="C24" s="1"/>
      <c r="D24" s="1"/>
      <c r="E24" s="1"/>
      <c r="F24" s="1"/>
      <c r="G24" s="1"/>
      <c r="H24" s="1"/>
    </row>
    <row r="25" spans="1:8" ht="24" customHeight="1">
      <c r="A25" s="4" t="s">
        <v>235</v>
      </c>
      <c r="B25" s="1"/>
      <c r="C25" s="1"/>
      <c r="D25" s="1"/>
      <c r="E25" s="1"/>
      <c r="F25" s="1"/>
      <c r="G25" s="1"/>
      <c r="H25" s="1"/>
    </row>
    <row r="26" spans="1:8" ht="24" customHeight="1">
      <c r="A26" s="4" t="s">
        <v>236</v>
      </c>
      <c r="B26" s="1"/>
      <c r="C26" s="1"/>
      <c r="D26" s="1"/>
      <c r="E26" s="1"/>
      <c r="F26" s="1"/>
      <c r="G26" s="1"/>
      <c r="H26" s="1"/>
    </row>
    <row r="27" spans="1:8" ht="24" customHeight="1">
      <c r="A27" s="4" t="s">
        <v>237</v>
      </c>
      <c r="B27" s="1"/>
      <c r="C27" s="1"/>
      <c r="D27" s="1"/>
      <c r="E27" s="1"/>
      <c r="F27" s="1"/>
      <c r="G27" s="1"/>
      <c r="H27" s="1"/>
    </row>
    <row r="28" spans="1:8" ht="24" customHeight="1">
      <c r="A28" s="4" t="s">
        <v>238</v>
      </c>
      <c r="B28" s="1"/>
      <c r="C28" s="1"/>
      <c r="D28" s="1"/>
      <c r="E28" s="1"/>
      <c r="F28" s="1"/>
      <c r="G28" s="1"/>
      <c r="H28" s="1"/>
    </row>
    <row r="29" spans="1:8" ht="24" customHeight="1">
      <c r="A29" s="4" t="s">
        <v>239</v>
      </c>
      <c r="B29" s="1"/>
      <c r="C29" s="1"/>
      <c r="D29" s="1"/>
      <c r="E29" s="1"/>
      <c r="F29" s="1"/>
      <c r="G29" s="1"/>
      <c r="H29" s="1"/>
    </row>
    <row r="30" spans="1:8" ht="24" customHeight="1">
      <c r="A30" s="1"/>
      <c r="B30" s="1"/>
      <c r="C30" s="1"/>
      <c r="D30" s="1"/>
      <c r="E30" s="1"/>
      <c r="F30" s="1"/>
      <c r="G30" s="1"/>
      <c r="H30" s="1"/>
    </row>
    <row r="31" spans="1:8" ht="24" customHeight="1">
      <c r="A31" s="1"/>
      <c r="B31" s="1"/>
      <c r="C31" s="1"/>
      <c r="D31" s="1"/>
      <c r="E31" s="1"/>
      <c r="F31" s="1"/>
      <c r="G31" s="1"/>
      <c r="H31" s="1"/>
    </row>
    <row r="32" spans="1:8" ht="24" customHeight="1">
      <c r="A32" s="1"/>
      <c r="B32" s="1"/>
      <c r="C32" s="1"/>
      <c r="D32" s="1"/>
      <c r="E32" s="1"/>
      <c r="F32" s="1"/>
      <c r="G32" s="1"/>
      <c r="H32" s="1"/>
    </row>
    <row r="33" spans="1:8" ht="24" customHeight="1">
      <c r="A33" s="1"/>
      <c r="B33" s="1"/>
      <c r="C33" s="1"/>
      <c r="D33" s="1"/>
      <c r="E33" s="1"/>
      <c r="F33" s="1"/>
      <c r="G33" s="1"/>
      <c r="H33" s="1"/>
    </row>
    <row r="34" spans="1:8" ht="24" customHeight="1">
      <c r="A34" s="1"/>
      <c r="B34" s="1"/>
      <c r="C34" s="1"/>
      <c r="D34" s="1"/>
      <c r="E34" s="1"/>
      <c r="F34" s="1"/>
      <c r="G34" s="1"/>
      <c r="H34" s="1"/>
    </row>
    <row r="35" spans="1:8" ht="24" customHeight="1">
      <c r="A35" s="1"/>
      <c r="B35" s="1"/>
      <c r="C35" s="1"/>
      <c r="D35" s="1"/>
      <c r="E35" s="1"/>
      <c r="F35" s="1"/>
      <c r="G35" s="1"/>
      <c r="H35" s="1"/>
    </row>
    <row r="36" spans="1:8" ht="24" customHeight="1">
      <c r="A36" s="1"/>
      <c r="B36" s="1"/>
      <c r="C36" s="1"/>
      <c r="D36" s="1"/>
      <c r="E36" s="1"/>
      <c r="F36" s="1"/>
      <c r="G36" s="1"/>
      <c r="H36" s="1"/>
    </row>
    <row r="37" spans="1:8" ht="24" customHeight="1">
      <c r="A37" s="1"/>
      <c r="B37" s="1"/>
      <c r="C37" s="1"/>
      <c r="D37" s="1"/>
      <c r="E37" s="1"/>
      <c r="F37" s="1"/>
      <c r="G37" s="1"/>
      <c r="H37" s="1"/>
    </row>
    <row r="38" spans="1:8" ht="24" customHeight="1">
      <c r="A38" s="1"/>
      <c r="B38" s="1"/>
      <c r="C38" s="1"/>
      <c r="D38" s="1"/>
      <c r="E38" s="1"/>
      <c r="F38" s="1"/>
      <c r="G38" s="1"/>
      <c r="H38" s="1"/>
    </row>
    <row r="39" spans="1:8" ht="24" customHeight="1">
      <c r="A39" s="1"/>
      <c r="B39" s="1"/>
      <c r="C39" s="1"/>
      <c r="D39" s="1"/>
      <c r="E39" s="1"/>
      <c r="F39" s="1"/>
      <c r="G39" s="1"/>
      <c r="H39" s="1"/>
    </row>
    <row r="40" spans="1:8" ht="24" customHeight="1">
      <c r="A40" s="1"/>
      <c r="B40" s="1"/>
      <c r="C40" s="1"/>
      <c r="D40" s="1"/>
      <c r="E40" s="1"/>
      <c r="F40" s="1"/>
      <c r="G40" s="1"/>
      <c r="H40" s="1"/>
    </row>
    <row r="41" spans="1:8" ht="24" customHeight="1">
      <c r="A41" s="1"/>
      <c r="B41" s="1"/>
      <c r="C41" s="1"/>
      <c r="D41" s="1"/>
      <c r="E41" s="1"/>
      <c r="F41" s="1"/>
      <c r="G41" s="1"/>
      <c r="H41" s="1"/>
    </row>
    <row r="42" spans="1:8" ht="24" customHeight="1">
      <c r="A42" s="1"/>
      <c r="B42" s="1"/>
      <c r="C42" s="1"/>
      <c r="D42" s="1"/>
      <c r="E42" s="1"/>
      <c r="F42" s="1"/>
      <c r="G42" s="1"/>
      <c r="H42" s="1"/>
    </row>
    <row r="43" spans="1:8" ht="24" customHeight="1">
      <c r="A43" s="1"/>
      <c r="B43" s="1"/>
      <c r="C43" s="1"/>
      <c r="D43" s="1"/>
      <c r="E43" s="1"/>
      <c r="F43" s="1"/>
      <c r="G43" s="1"/>
      <c r="H43" s="1"/>
    </row>
    <row r="44" spans="1:8" ht="24" customHeight="1">
      <c r="A44" s="1"/>
      <c r="B44" s="1"/>
      <c r="C44" s="1"/>
      <c r="D44" s="1"/>
      <c r="E44" s="1"/>
      <c r="F44" s="1"/>
      <c r="G44" s="1"/>
      <c r="H44" s="1"/>
    </row>
    <row r="45" spans="1:8" ht="24" customHeight="1">
      <c r="A45" s="1"/>
      <c r="B45" s="1"/>
      <c r="C45" s="1"/>
      <c r="D45" s="1"/>
      <c r="E45" s="1"/>
      <c r="F45" s="1"/>
      <c r="G45" s="1"/>
      <c r="H45" s="1"/>
    </row>
    <row r="46" spans="1:8" ht="24" customHeight="1">
      <c r="A46" s="1"/>
      <c r="B46" s="1"/>
      <c r="C46" s="1"/>
      <c r="D46" s="1"/>
      <c r="E46" s="1"/>
      <c r="F46" s="1"/>
      <c r="G46" s="1"/>
      <c r="H46" s="1"/>
    </row>
    <row r="47" spans="1:8" ht="24" customHeight="1">
      <c r="A47" s="1"/>
      <c r="B47" s="1"/>
      <c r="C47" s="1"/>
      <c r="D47" s="1"/>
      <c r="E47" s="1"/>
      <c r="F47" s="1"/>
      <c r="G47" s="1"/>
      <c r="H47" s="1"/>
    </row>
    <row r="48" spans="1:8" ht="24" customHeight="1">
      <c r="A48" s="1"/>
      <c r="B48" s="1"/>
      <c r="C48" s="1"/>
      <c r="D48" s="1"/>
      <c r="E48" s="1"/>
      <c r="F48" s="1"/>
      <c r="G48" s="1"/>
      <c r="H48" s="1"/>
    </row>
    <row r="49" spans="1:8" ht="24" customHeight="1">
      <c r="A49" s="1"/>
      <c r="B49" s="1"/>
      <c r="C49" s="1"/>
      <c r="D49" s="1"/>
      <c r="E49" s="1"/>
      <c r="F49" s="1"/>
      <c r="G49" s="1"/>
      <c r="H49" s="1"/>
    </row>
    <row r="50" spans="1:8" ht="24" customHeight="1">
      <c r="A50" s="1"/>
      <c r="B50" s="1"/>
      <c r="C50" s="1"/>
      <c r="D50" s="1"/>
      <c r="E50" s="1"/>
      <c r="F50" s="1"/>
      <c r="G50" s="1"/>
      <c r="H50" s="1"/>
    </row>
    <row r="51" spans="1:8" ht="24" customHeight="1">
      <c r="A51" s="1"/>
      <c r="B51" s="1"/>
      <c r="C51" s="1"/>
      <c r="D51" s="1"/>
      <c r="E51" s="1"/>
      <c r="F51" s="1"/>
      <c r="G51" s="1"/>
      <c r="H51" s="1"/>
    </row>
    <row r="52" spans="1:8" ht="24" customHeight="1">
      <c r="A52" s="1"/>
      <c r="B52" s="1"/>
      <c r="C52" s="1"/>
      <c r="D52" s="1"/>
      <c r="E52" s="1"/>
      <c r="F52" s="1"/>
      <c r="G52" s="1"/>
      <c r="H52" s="1"/>
    </row>
    <row r="53" spans="1:8" ht="24" customHeight="1">
      <c r="A53" s="1"/>
      <c r="B53" s="1"/>
      <c r="C53" s="1"/>
      <c r="D53" s="1"/>
      <c r="E53" s="1"/>
      <c r="F53" s="1"/>
      <c r="G53" s="1"/>
      <c r="H53" s="1"/>
    </row>
    <row r="54" spans="1:8" ht="24" customHeight="1">
      <c r="A54" s="1"/>
      <c r="B54" s="1"/>
      <c r="C54" s="1"/>
      <c r="D54" s="1"/>
      <c r="E54" s="1"/>
      <c r="F54" s="1"/>
      <c r="G54" s="1"/>
      <c r="H54" s="1"/>
    </row>
    <row r="55" spans="1:8" ht="24" customHeight="1">
      <c r="A55" s="1"/>
      <c r="B55" s="1"/>
      <c r="C55" s="1"/>
      <c r="D55" s="1"/>
      <c r="E55" s="1"/>
      <c r="F55" s="1"/>
      <c r="G55" s="1"/>
      <c r="H55" s="1"/>
    </row>
    <row r="56" spans="1:8" ht="24" customHeight="1">
      <c r="A56" s="1"/>
      <c r="B56" s="1"/>
      <c r="C56" s="1"/>
      <c r="D56" s="1"/>
      <c r="E56" s="1"/>
      <c r="F56" s="1"/>
      <c r="G56" s="1"/>
      <c r="H56" s="1"/>
    </row>
    <row r="57" spans="1:8" ht="24" customHeight="1">
      <c r="A57" s="1"/>
      <c r="B57" s="1"/>
      <c r="C57" s="1"/>
      <c r="D57" s="1"/>
      <c r="E57" s="1"/>
      <c r="F57" s="1"/>
      <c r="G57" s="1"/>
      <c r="H57" s="1"/>
    </row>
    <row r="58" spans="1:8" ht="24" customHeight="1">
      <c r="A58" s="1"/>
      <c r="B58" s="1"/>
      <c r="C58" s="1"/>
      <c r="D58" s="1"/>
      <c r="E58" s="1"/>
      <c r="F58" s="1"/>
      <c r="G58" s="1"/>
      <c r="H58" s="1"/>
    </row>
  </sheetData>
  <dataValidations count="1">
    <dataValidation type="list" sqref="G9:G21" xr:uid="{00000000-0002-0000-0200-000000000000}">
      <formula1>"Not checked,Available,Partial,Unavailable,Other system"</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6E60"/>
  </sheetPr>
  <dimension ref="A1:F39"/>
  <sheetViews>
    <sheetView showGridLines="0" topLeftCell="A13" workbookViewId="0">
      <selection activeCell="A2" sqref="A2:B2"/>
    </sheetView>
  </sheetViews>
  <sheetFormatPr defaultRowHeight="14.25"/>
  <cols>
    <col min="1" max="1" width="28" customWidth="1"/>
    <col min="2" max="3" width="52" customWidth="1"/>
    <col min="4" max="4" width="30" customWidth="1"/>
    <col min="5" max="5" width="52" customWidth="1"/>
    <col min="6" max="6" width="42" customWidth="1"/>
  </cols>
  <sheetData>
    <row r="1" spans="1:6" ht="24" customHeight="1"/>
    <row r="2" spans="1:6" ht="33" customHeight="1">
      <c r="A2" s="2" t="s">
        <v>240</v>
      </c>
    </row>
    <row r="3" spans="1:6" ht="12" customHeight="1"/>
    <row r="4" spans="1:6" ht="24" customHeight="1">
      <c r="A4" s="3" t="s">
        <v>241</v>
      </c>
    </row>
    <row r="5" spans="1:6" ht="24" customHeight="1">
      <c r="A5" s="4" t="s">
        <v>242</v>
      </c>
    </row>
    <row r="6" spans="1:6" ht="12" customHeight="1"/>
    <row r="7" spans="1:6" ht="26.1" customHeight="1">
      <c r="A7" s="11" t="s">
        <v>243</v>
      </c>
    </row>
    <row r="8" spans="1:6" ht="30" customHeight="1">
      <c r="A8" s="6" t="s">
        <v>2</v>
      </c>
      <c r="B8" s="35" t="s">
        <v>244</v>
      </c>
      <c r="C8" s="35"/>
      <c r="D8" s="35"/>
      <c r="E8" s="35"/>
      <c r="F8" s="35"/>
    </row>
    <row r="9" spans="1:6" ht="24" customHeight="1">
      <c r="A9" s="7" t="s">
        <v>245</v>
      </c>
      <c r="B9" s="36" t="s">
        <v>246</v>
      </c>
      <c r="C9" s="36"/>
      <c r="D9" s="36"/>
      <c r="E9" s="36"/>
      <c r="F9" s="36"/>
    </row>
    <row r="10" spans="1:6" ht="38.1" customHeight="1">
      <c r="A10" s="8" t="s">
        <v>247</v>
      </c>
      <c r="B10" s="37" t="s">
        <v>248</v>
      </c>
      <c r="C10" s="37"/>
      <c r="D10" s="37"/>
      <c r="E10" s="37"/>
      <c r="F10" s="37"/>
    </row>
    <row r="11" spans="1:6" ht="24" customHeight="1">
      <c r="A11" s="7" t="s">
        <v>249</v>
      </c>
      <c r="B11" s="36" t="s">
        <v>250</v>
      </c>
      <c r="C11" s="36"/>
      <c r="D11" s="36"/>
      <c r="E11" s="36"/>
      <c r="F11" s="36"/>
    </row>
    <row r="12" spans="1:6" ht="24" customHeight="1">
      <c r="A12" s="8" t="s">
        <v>251</v>
      </c>
      <c r="B12" s="37" t="s">
        <v>252</v>
      </c>
      <c r="C12" s="37"/>
      <c r="D12" s="37"/>
      <c r="E12" s="37"/>
      <c r="F12" s="37"/>
    </row>
    <row r="13" spans="1:6" ht="38.1" customHeight="1">
      <c r="A13" s="7" t="s">
        <v>253</v>
      </c>
      <c r="B13" s="36" t="s">
        <v>254</v>
      </c>
      <c r="C13" s="36"/>
      <c r="D13" s="36"/>
      <c r="E13" s="36"/>
      <c r="F13" s="36"/>
    </row>
    <row r="14" spans="1:6" ht="24" customHeight="1">
      <c r="A14" s="8" t="s">
        <v>255</v>
      </c>
      <c r="B14" s="37" t="s">
        <v>256</v>
      </c>
      <c r="C14" s="37"/>
      <c r="D14" s="37"/>
      <c r="E14" s="37"/>
      <c r="F14" s="37"/>
    </row>
    <row r="15" spans="1:6" ht="38.1" customHeight="1">
      <c r="A15" s="7" t="s">
        <v>257</v>
      </c>
      <c r="B15" s="36" t="s">
        <v>258</v>
      </c>
      <c r="C15" s="36"/>
      <c r="D15" s="36"/>
      <c r="E15" s="36"/>
      <c r="F15" s="36"/>
    </row>
    <row r="16" spans="1:6" ht="38.1" customHeight="1">
      <c r="A16" s="8" t="s">
        <v>259</v>
      </c>
      <c r="B16" s="37" t="s">
        <v>260</v>
      </c>
      <c r="C16" s="37"/>
      <c r="D16" s="37"/>
      <c r="E16" s="37"/>
      <c r="F16" s="37"/>
    </row>
    <row r="17" spans="1:6" ht="24" customHeight="1">
      <c r="A17" s="7" t="s">
        <v>261</v>
      </c>
      <c r="B17" s="36" t="s">
        <v>262</v>
      </c>
      <c r="C17" s="36"/>
      <c r="D17" s="36"/>
      <c r="E17" s="36"/>
      <c r="F17" s="36"/>
    </row>
    <row r="18" spans="1:6" ht="24" customHeight="1">
      <c r="A18" s="8" t="s">
        <v>263</v>
      </c>
      <c r="B18" s="37" t="s">
        <v>264</v>
      </c>
      <c r="C18" s="37"/>
      <c r="D18" s="37"/>
      <c r="E18" s="37"/>
      <c r="F18" s="37"/>
    </row>
    <row r="19" spans="1:6" ht="12" customHeight="1"/>
    <row r="20" spans="1:6" ht="26.1" customHeight="1">
      <c r="A20" s="11" t="s">
        <v>265</v>
      </c>
    </row>
    <row r="21" spans="1:6" ht="30" customHeight="1">
      <c r="A21" s="6" t="s">
        <v>266</v>
      </c>
      <c r="B21" s="6" t="s">
        <v>267</v>
      </c>
      <c r="C21" s="6" t="s">
        <v>268</v>
      </c>
      <c r="D21" s="6" t="s">
        <v>269</v>
      </c>
      <c r="E21" s="6"/>
      <c r="F21" s="6"/>
    </row>
    <row r="22" spans="1:6" ht="53.1" customHeight="1">
      <c r="A22" s="7" t="s">
        <v>270</v>
      </c>
      <c r="B22" s="7" t="s">
        <v>271</v>
      </c>
      <c r="C22" s="7" t="s">
        <v>272</v>
      </c>
      <c r="D22" s="7" t="s">
        <v>273</v>
      </c>
      <c r="E22" s="7"/>
      <c r="F22" s="7"/>
    </row>
    <row r="23" spans="1:6" ht="38.1" customHeight="1">
      <c r="A23" s="8" t="s">
        <v>274</v>
      </c>
      <c r="B23" s="8" t="s">
        <v>275</v>
      </c>
      <c r="C23" s="8" t="s">
        <v>276</v>
      </c>
      <c r="D23" s="8" t="s">
        <v>273</v>
      </c>
      <c r="E23" s="8"/>
      <c r="F23" s="8"/>
    </row>
    <row r="24" spans="1:6" ht="38.1" customHeight="1">
      <c r="A24" s="7" t="s">
        <v>277</v>
      </c>
      <c r="B24" s="7" t="s">
        <v>278</v>
      </c>
      <c r="C24" s="7" t="s">
        <v>279</v>
      </c>
      <c r="D24" s="7" t="s">
        <v>273</v>
      </c>
      <c r="E24" s="7"/>
      <c r="F24" s="7"/>
    </row>
    <row r="25" spans="1:6" ht="38.1" customHeight="1">
      <c r="A25" s="8" t="s">
        <v>280</v>
      </c>
      <c r="B25" s="8" t="s">
        <v>281</v>
      </c>
      <c r="C25" s="8" t="s">
        <v>282</v>
      </c>
      <c r="D25" s="8" t="s">
        <v>273</v>
      </c>
      <c r="E25" s="8"/>
      <c r="F25" s="8"/>
    </row>
    <row r="26" spans="1:6" ht="38.1" customHeight="1">
      <c r="A26" s="7" t="s">
        <v>283</v>
      </c>
      <c r="B26" s="7" t="s">
        <v>284</v>
      </c>
      <c r="C26" s="7" t="s">
        <v>285</v>
      </c>
      <c r="D26" s="7" t="s">
        <v>286</v>
      </c>
      <c r="E26" s="7"/>
      <c r="F26" s="7"/>
    </row>
    <row r="27" spans="1:6" ht="38.1" customHeight="1">
      <c r="A27" s="8" t="s">
        <v>287</v>
      </c>
      <c r="B27" s="8" t="s">
        <v>288</v>
      </c>
      <c r="C27" s="8" t="s">
        <v>289</v>
      </c>
      <c r="D27" s="8" t="s">
        <v>286</v>
      </c>
      <c r="E27" s="8"/>
      <c r="F27" s="8"/>
    </row>
    <row r="28" spans="1:6" ht="38.1" customHeight="1">
      <c r="A28" s="7" t="s">
        <v>290</v>
      </c>
      <c r="B28" s="7" t="s">
        <v>291</v>
      </c>
      <c r="C28" s="7" t="s">
        <v>292</v>
      </c>
      <c r="D28" s="7" t="s">
        <v>273</v>
      </c>
      <c r="E28" s="7"/>
      <c r="F28" s="7"/>
    </row>
    <row r="29" spans="1:6" ht="38.1" customHeight="1">
      <c r="A29" s="8" t="s">
        <v>293</v>
      </c>
      <c r="B29" s="8" t="s">
        <v>294</v>
      </c>
      <c r="C29" s="8" t="s">
        <v>295</v>
      </c>
      <c r="D29" s="8" t="s">
        <v>273</v>
      </c>
      <c r="E29" s="8"/>
      <c r="F29" s="8"/>
    </row>
    <row r="30" spans="1:6" ht="12" customHeight="1"/>
    <row r="31" spans="1:6" ht="26.1" customHeight="1">
      <c r="A31" s="11" t="s">
        <v>296</v>
      </c>
    </row>
    <row r="32" spans="1:6" ht="30" customHeight="1">
      <c r="A32" s="6" t="s">
        <v>297</v>
      </c>
      <c r="B32" s="6" t="s">
        <v>298</v>
      </c>
      <c r="C32" s="6" t="s">
        <v>299</v>
      </c>
      <c r="D32" s="6" t="s">
        <v>300</v>
      </c>
      <c r="E32" s="6" t="s">
        <v>301</v>
      </c>
      <c r="F32" s="6" t="s">
        <v>302</v>
      </c>
    </row>
    <row r="33" spans="1:6" ht="68.099999999999994" customHeight="1">
      <c r="A33" s="7" t="s">
        <v>303</v>
      </c>
      <c r="B33" s="7" t="s">
        <v>304</v>
      </c>
      <c r="C33" s="7" t="s">
        <v>305</v>
      </c>
      <c r="D33" s="7" t="s">
        <v>306</v>
      </c>
      <c r="E33" s="7" t="s">
        <v>307</v>
      </c>
      <c r="F33" s="7" t="s">
        <v>308</v>
      </c>
    </row>
    <row r="34" spans="1:6" ht="53.1" customHeight="1">
      <c r="A34" s="8" t="s">
        <v>309</v>
      </c>
      <c r="B34" s="8" t="s">
        <v>310</v>
      </c>
      <c r="C34" s="8" t="s">
        <v>311</v>
      </c>
      <c r="D34" s="8" t="s">
        <v>312</v>
      </c>
      <c r="E34" s="8" t="s">
        <v>313</v>
      </c>
      <c r="F34" s="8" t="s">
        <v>314</v>
      </c>
    </row>
    <row r="35" spans="1:6" ht="83.1" customHeight="1">
      <c r="A35" s="7" t="s">
        <v>315</v>
      </c>
      <c r="B35" s="7" t="s">
        <v>316</v>
      </c>
      <c r="C35" s="7" t="s">
        <v>317</v>
      </c>
      <c r="D35" s="7" t="s">
        <v>318</v>
      </c>
      <c r="E35" s="7" t="s">
        <v>319</v>
      </c>
      <c r="F35" s="7" t="s">
        <v>320</v>
      </c>
    </row>
    <row r="36" spans="1:6" ht="53.1" customHeight="1">
      <c r="A36" s="8" t="s">
        <v>321</v>
      </c>
      <c r="B36" s="8" t="s">
        <v>322</v>
      </c>
      <c r="C36" s="8" t="s">
        <v>323</v>
      </c>
      <c r="D36" s="8" t="s">
        <v>324</v>
      </c>
      <c r="E36" s="8" t="s">
        <v>325</v>
      </c>
      <c r="F36" s="8" t="s">
        <v>326</v>
      </c>
    </row>
    <row r="37" spans="1:6" ht="12" customHeight="1"/>
    <row r="38" spans="1:6" ht="26.1" customHeight="1">
      <c r="A38" s="11" t="s">
        <v>327</v>
      </c>
    </row>
    <row r="39" spans="1:6" ht="38.1" customHeight="1">
      <c r="A39" s="7" t="s">
        <v>328</v>
      </c>
      <c r="B39" s="36" t="s">
        <v>329</v>
      </c>
      <c r="C39" s="36"/>
      <c r="D39" s="36"/>
      <c r="E39" s="36"/>
      <c r="F39" s="36"/>
    </row>
  </sheetData>
  <mergeCells count="12">
    <mergeCell ref="B18:F18"/>
    <mergeCell ref="B39:F39"/>
    <mergeCell ref="B13:F13"/>
    <mergeCell ref="B14:F14"/>
    <mergeCell ref="B15:F15"/>
    <mergeCell ref="B16:F16"/>
    <mergeCell ref="B17:F17"/>
    <mergeCell ref="B8:F8"/>
    <mergeCell ref="B9:F9"/>
    <mergeCell ref="B10:F10"/>
    <mergeCell ref="B11:F11"/>
    <mergeCell ref="B12: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26685"/>
  </sheetPr>
  <dimension ref="A1:I62"/>
  <sheetViews>
    <sheetView showGridLines="0" zoomScale="70" zoomScaleNormal="70" workbookViewId="0">
      <pane ySplit="6" topLeftCell="A17" activePane="bottomLeft" state="frozen"/>
      <selection pane="bottomLeft" activeCell="N28" sqref="N28"/>
    </sheetView>
  </sheetViews>
  <sheetFormatPr defaultRowHeight="23.25"/>
  <cols>
    <col min="1" max="2" width="20" style="74" customWidth="1"/>
    <col min="3" max="3" width="24" style="74" customWidth="1"/>
    <col min="4" max="4" width="43" style="74" customWidth="1"/>
    <col min="5" max="5" width="23" style="74" customWidth="1"/>
    <col min="6" max="6" width="20" style="74" customWidth="1"/>
    <col min="7" max="7" width="21" style="74" customWidth="1"/>
    <col min="8" max="9" width="22" style="74" customWidth="1"/>
    <col min="10" max="16384" width="9" style="74"/>
  </cols>
  <sheetData>
    <row r="1" spans="1:9" ht="24" customHeight="1">
      <c r="A1" s="73"/>
      <c r="B1" s="73"/>
      <c r="C1" s="73"/>
      <c r="D1" s="73"/>
      <c r="E1" s="73"/>
      <c r="F1" s="73"/>
      <c r="G1" s="73"/>
      <c r="H1" s="73"/>
      <c r="I1" s="73"/>
    </row>
    <row r="2" spans="1:9" ht="33" customHeight="1">
      <c r="A2" s="75" t="s">
        <v>330</v>
      </c>
      <c r="B2" s="73"/>
      <c r="C2" s="73"/>
      <c r="D2" s="73"/>
      <c r="E2" s="73"/>
      <c r="F2" s="73"/>
      <c r="G2" s="73"/>
      <c r="H2" s="73"/>
      <c r="I2" s="73"/>
    </row>
    <row r="3" spans="1:9" ht="24" customHeight="1">
      <c r="A3" s="73"/>
      <c r="B3" s="73"/>
      <c r="C3" s="73"/>
      <c r="D3" s="73"/>
      <c r="E3" s="73"/>
      <c r="F3" s="73"/>
      <c r="G3" s="73"/>
      <c r="H3" s="73"/>
      <c r="I3" s="73"/>
    </row>
    <row r="4" spans="1:9" ht="24" customHeight="1">
      <c r="A4" s="76" t="s">
        <v>331</v>
      </c>
      <c r="B4" s="73"/>
      <c r="C4" s="73"/>
      <c r="D4" s="73"/>
      <c r="E4" s="73"/>
      <c r="F4" s="73"/>
      <c r="G4" s="73"/>
      <c r="H4" s="73"/>
      <c r="I4" s="73"/>
    </row>
    <row r="5" spans="1:9" ht="24" customHeight="1">
      <c r="A5" s="76" t="s">
        <v>332</v>
      </c>
      <c r="B5" s="73"/>
      <c r="C5" s="73"/>
      <c r="D5" s="73"/>
      <c r="E5" s="73"/>
      <c r="F5" s="73"/>
      <c r="G5" s="73"/>
      <c r="H5" s="73"/>
      <c r="I5" s="73"/>
    </row>
    <row r="6" spans="1:9" ht="24" customHeight="1">
      <c r="A6" s="73"/>
      <c r="B6" s="73"/>
      <c r="C6" s="73"/>
      <c r="D6" s="73"/>
      <c r="E6" s="73"/>
      <c r="F6" s="73"/>
      <c r="G6" s="73"/>
      <c r="H6" s="73"/>
      <c r="I6" s="73"/>
    </row>
    <row r="7" spans="1:9" ht="30" customHeight="1">
      <c r="A7" s="77" t="s">
        <v>333</v>
      </c>
      <c r="B7" s="78"/>
      <c r="C7" s="78"/>
      <c r="D7" s="78"/>
      <c r="E7" s="78"/>
      <c r="F7" s="78"/>
      <c r="G7" s="78"/>
      <c r="H7" s="78"/>
      <c r="I7" s="78"/>
    </row>
    <row r="8" spans="1:9" ht="24" customHeight="1">
      <c r="A8" s="76" t="s">
        <v>334</v>
      </c>
      <c r="B8" s="73"/>
      <c r="C8" s="73"/>
      <c r="D8" s="73"/>
      <c r="E8" s="73"/>
      <c r="F8" s="73"/>
      <c r="G8" s="73"/>
      <c r="H8" s="73"/>
      <c r="I8" s="73"/>
    </row>
    <row r="9" spans="1:9" ht="24" customHeight="1">
      <c r="A9" s="76" t="s">
        <v>335</v>
      </c>
      <c r="B9" s="73"/>
      <c r="C9" s="73"/>
      <c r="D9" s="73"/>
      <c r="E9" s="73"/>
      <c r="F9" s="73"/>
      <c r="G9" s="73"/>
      <c r="H9" s="73"/>
      <c r="I9" s="73"/>
    </row>
    <row r="10" spans="1:9" ht="57.95" customHeight="1">
      <c r="A10" s="79" t="s">
        <v>336</v>
      </c>
      <c r="B10" s="79" t="s">
        <v>337</v>
      </c>
      <c r="C10" s="79" t="s">
        <v>338</v>
      </c>
      <c r="D10" s="79" t="s">
        <v>339</v>
      </c>
      <c r="E10" s="79" t="s">
        <v>340</v>
      </c>
      <c r="F10" s="79" t="s">
        <v>341</v>
      </c>
      <c r="G10" s="79" t="s">
        <v>342</v>
      </c>
      <c r="H10" s="79" t="s">
        <v>343</v>
      </c>
      <c r="I10" s="79" t="s">
        <v>344</v>
      </c>
    </row>
    <row r="11" spans="1:9" ht="68.099999999999994" customHeight="1">
      <c r="A11" s="80">
        <v>46303</v>
      </c>
      <c r="B11" s="81" t="s">
        <v>345</v>
      </c>
      <c r="C11" s="81" t="s">
        <v>346</v>
      </c>
      <c r="D11" s="81" t="s">
        <v>347</v>
      </c>
      <c r="E11" s="81" t="s">
        <v>348</v>
      </c>
      <c r="F11" s="80">
        <v>46309</v>
      </c>
      <c r="G11" s="81" t="s">
        <v>349</v>
      </c>
      <c r="H11" s="82">
        <v>7200</v>
      </c>
      <c r="I11" s="80">
        <v>46310</v>
      </c>
    </row>
    <row r="12" spans="1:9" ht="68.099999999999994" customHeight="1">
      <c r="A12" s="80">
        <v>46303</v>
      </c>
      <c r="B12" s="81" t="s">
        <v>350</v>
      </c>
      <c r="C12" s="81" t="s">
        <v>351</v>
      </c>
      <c r="D12" s="81" t="s">
        <v>352</v>
      </c>
      <c r="E12" s="81" t="s">
        <v>353</v>
      </c>
      <c r="F12" s="80">
        <v>46304</v>
      </c>
      <c r="G12" s="81" t="s">
        <v>354</v>
      </c>
      <c r="H12" s="82"/>
      <c r="I12" s="80"/>
    </row>
    <row r="13" spans="1:9" ht="29.1" customHeight="1">
      <c r="A13" s="83"/>
      <c r="B13" s="84"/>
      <c r="C13" s="84"/>
      <c r="D13" s="84"/>
      <c r="E13" s="84"/>
      <c r="F13" s="83"/>
      <c r="G13" s="84"/>
      <c r="H13" s="85"/>
      <c r="I13" s="86"/>
    </row>
    <row r="14" spans="1:9" ht="29.1" customHeight="1">
      <c r="A14" s="83"/>
      <c r="B14" s="84"/>
      <c r="C14" s="84"/>
      <c r="D14" s="84"/>
      <c r="E14" s="84"/>
      <c r="F14" s="83"/>
      <c r="G14" s="84"/>
      <c r="H14" s="85"/>
      <c r="I14" s="86"/>
    </row>
    <row r="15" spans="1:9" ht="29.1" customHeight="1">
      <c r="A15" s="83"/>
      <c r="B15" s="84"/>
      <c r="C15" s="84"/>
      <c r="D15" s="84"/>
      <c r="E15" s="84"/>
      <c r="F15" s="83"/>
      <c r="G15" s="84"/>
      <c r="H15" s="85"/>
      <c r="I15" s="86"/>
    </row>
    <row r="16" spans="1:9" ht="29.1" customHeight="1">
      <c r="A16" s="83"/>
      <c r="B16" s="84"/>
      <c r="C16" s="84"/>
      <c r="D16" s="84"/>
      <c r="E16" s="84"/>
      <c r="F16" s="83"/>
      <c r="G16" s="84"/>
      <c r="H16" s="85"/>
      <c r="I16" s="86"/>
    </row>
    <row r="17" spans="1:9" ht="24" customHeight="1">
      <c r="A17" s="73"/>
      <c r="B17" s="73"/>
      <c r="C17" s="73"/>
      <c r="D17" s="73"/>
      <c r="E17" s="73"/>
      <c r="F17" s="73"/>
      <c r="G17" s="73"/>
      <c r="H17" s="73"/>
      <c r="I17" s="73"/>
    </row>
    <row r="18" spans="1:9" ht="24" customHeight="1">
      <c r="A18" s="73"/>
      <c r="B18" s="73"/>
      <c r="C18" s="73"/>
      <c r="D18" s="73"/>
      <c r="E18" s="73"/>
      <c r="F18" s="73"/>
      <c r="G18" s="73"/>
      <c r="H18" s="73"/>
      <c r="I18" s="73"/>
    </row>
    <row r="19" spans="1:9" ht="24" customHeight="1">
      <c r="A19" s="73"/>
      <c r="B19" s="73"/>
      <c r="C19" s="73"/>
      <c r="D19" s="73"/>
      <c r="E19" s="73"/>
      <c r="F19" s="73"/>
      <c r="G19" s="73"/>
      <c r="H19" s="73"/>
      <c r="I19" s="73"/>
    </row>
    <row r="20" spans="1:9" ht="30" customHeight="1">
      <c r="A20" s="77" t="s">
        <v>355</v>
      </c>
      <c r="B20" s="78"/>
      <c r="C20" s="78"/>
      <c r="D20" s="78"/>
      <c r="E20" s="78"/>
      <c r="F20" s="78"/>
      <c r="G20" s="78"/>
      <c r="H20" s="78"/>
      <c r="I20" s="73"/>
    </row>
    <row r="21" spans="1:9" ht="24" customHeight="1">
      <c r="A21" s="76" t="s">
        <v>356</v>
      </c>
      <c r="B21" s="73"/>
      <c r="C21" s="73"/>
      <c r="D21" s="73"/>
      <c r="E21" s="73"/>
      <c r="F21" s="73"/>
      <c r="G21" s="73"/>
      <c r="H21" s="73"/>
      <c r="I21" s="73"/>
    </row>
    <row r="22" spans="1:9" ht="24" customHeight="1">
      <c r="A22" s="76" t="s">
        <v>357</v>
      </c>
      <c r="B22" s="73"/>
      <c r="C22" s="73"/>
      <c r="D22" s="73"/>
      <c r="E22" s="73"/>
      <c r="F22" s="73"/>
      <c r="G22" s="73"/>
      <c r="H22" s="73"/>
      <c r="I22" s="73"/>
    </row>
    <row r="23" spans="1:9" ht="57.95" customHeight="1">
      <c r="A23" s="79" t="s">
        <v>358</v>
      </c>
      <c r="B23" s="79" t="s">
        <v>359</v>
      </c>
      <c r="C23" s="79" t="s">
        <v>360</v>
      </c>
      <c r="D23" s="79" t="s">
        <v>361</v>
      </c>
      <c r="E23" s="79" t="s">
        <v>362</v>
      </c>
      <c r="F23" s="79" t="s">
        <v>363</v>
      </c>
      <c r="G23" s="79" t="s">
        <v>364</v>
      </c>
      <c r="H23" s="79" t="s">
        <v>365</v>
      </c>
      <c r="I23" s="73"/>
    </row>
    <row r="24" spans="1:9" ht="68.099999999999994" customHeight="1">
      <c r="A24" s="80">
        <v>46303</v>
      </c>
      <c r="B24" s="81" t="s">
        <v>366</v>
      </c>
      <c r="C24" s="81" t="s">
        <v>367</v>
      </c>
      <c r="D24" s="81" t="s">
        <v>368</v>
      </c>
      <c r="E24" s="81">
        <v>600</v>
      </c>
      <c r="F24" s="81" t="s">
        <v>369</v>
      </c>
      <c r="G24" s="80">
        <v>46752</v>
      </c>
      <c r="H24" s="81" t="s">
        <v>370</v>
      </c>
      <c r="I24" s="73"/>
    </row>
    <row r="25" spans="1:9" ht="68.099999999999994" customHeight="1">
      <c r="A25" s="80">
        <v>46303</v>
      </c>
      <c r="B25" s="81" t="s">
        <v>371</v>
      </c>
      <c r="C25" s="81" t="s">
        <v>372</v>
      </c>
      <c r="D25" s="81" t="s">
        <v>368</v>
      </c>
      <c r="E25" s="81">
        <v>80</v>
      </c>
      <c r="F25" s="81" t="s">
        <v>369</v>
      </c>
      <c r="G25" s="80">
        <v>46371</v>
      </c>
      <c r="H25" s="81" t="s">
        <v>373</v>
      </c>
      <c r="I25" s="73"/>
    </row>
    <row r="26" spans="1:9" ht="29.1" customHeight="1">
      <c r="A26" s="83"/>
      <c r="B26" s="84"/>
      <c r="C26" s="84"/>
      <c r="D26" s="84"/>
      <c r="E26" s="87"/>
      <c r="F26" s="84"/>
      <c r="G26" s="83"/>
      <c r="H26" s="84"/>
      <c r="I26" s="73"/>
    </row>
    <row r="27" spans="1:9" ht="29.1" customHeight="1">
      <c r="A27" s="83"/>
      <c r="B27" s="84"/>
      <c r="C27" s="84"/>
      <c r="D27" s="84"/>
      <c r="E27" s="87"/>
      <c r="F27" s="84"/>
      <c r="G27" s="83"/>
      <c r="H27" s="84"/>
      <c r="I27" s="73"/>
    </row>
    <row r="28" spans="1:9" ht="29.1" customHeight="1">
      <c r="A28" s="83"/>
      <c r="B28" s="84"/>
      <c r="C28" s="84"/>
      <c r="D28" s="84"/>
      <c r="E28" s="87"/>
      <c r="F28" s="84"/>
      <c r="G28" s="83"/>
      <c r="H28" s="84"/>
      <c r="I28" s="73"/>
    </row>
    <row r="29" spans="1:9" ht="29.1" customHeight="1">
      <c r="A29" s="83"/>
      <c r="B29" s="84"/>
      <c r="C29" s="84"/>
      <c r="D29" s="84"/>
      <c r="E29" s="87"/>
      <c r="F29" s="84"/>
      <c r="G29" s="83"/>
      <c r="H29" s="84"/>
      <c r="I29" s="73"/>
    </row>
    <row r="30" spans="1:9" ht="24" customHeight="1">
      <c r="A30" s="73"/>
      <c r="B30" s="73"/>
      <c r="C30" s="73"/>
      <c r="D30" s="73"/>
      <c r="E30" s="73"/>
      <c r="F30" s="73"/>
      <c r="G30" s="73"/>
      <c r="H30" s="73"/>
      <c r="I30" s="73"/>
    </row>
    <row r="31" spans="1:9" ht="24" customHeight="1">
      <c r="A31" s="73"/>
      <c r="B31" s="73"/>
      <c r="C31" s="73"/>
      <c r="D31" s="73"/>
      <c r="E31" s="73"/>
      <c r="F31" s="73"/>
      <c r="G31" s="73"/>
      <c r="H31" s="73"/>
      <c r="I31" s="73"/>
    </row>
    <row r="32" spans="1:9" ht="24" customHeight="1">
      <c r="A32" s="73"/>
      <c r="B32" s="73"/>
      <c r="C32" s="73"/>
      <c r="D32" s="73"/>
      <c r="E32" s="73"/>
      <c r="F32" s="73"/>
      <c r="G32" s="73"/>
      <c r="H32" s="73"/>
      <c r="I32" s="73"/>
    </row>
    <row r="33" spans="1:9" ht="24" customHeight="1">
      <c r="A33" s="73"/>
      <c r="B33" s="73"/>
      <c r="C33" s="73"/>
      <c r="D33" s="73"/>
      <c r="E33" s="73"/>
      <c r="F33" s="73"/>
      <c r="G33" s="73"/>
      <c r="H33" s="73"/>
      <c r="I33" s="73"/>
    </row>
    <row r="34" spans="1:9" ht="24" customHeight="1">
      <c r="A34" s="73"/>
      <c r="B34" s="73"/>
      <c r="C34" s="73"/>
      <c r="D34" s="73"/>
      <c r="E34" s="73"/>
      <c r="F34" s="73"/>
      <c r="G34" s="73"/>
      <c r="H34" s="73"/>
      <c r="I34" s="73"/>
    </row>
    <row r="35" spans="1:9" ht="24" customHeight="1">
      <c r="A35" s="73"/>
      <c r="B35" s="73"/>
      <c r="C35" s="73"/>
      <c r="D35" s="73"/>
      <c r="E35" s="73"/>
      <c r="F35" s="73"/>
      <c r="G35" s="73"/>
      <c r="H35" s="73"/>
      <c r="I35" s="73"/>
    </row>
    <row r="36" spans="1:9" ht="24" customHeight="1">
      <c r="A36" s="73"/>
      <c r="B36" s="73"/>
      <c r="C36" s="73"/>
      <c r="D36" s="73"/>
      <c r="E36" s="73"/>
      <c r="F36" s="73"/>
      <c r="G36" s="73"/>
      <c r="H36" s="73"/>
      <c r="I36" s="73"/>
    </row>
    <row r="37" spans="1:9" ht="24" customHeight="1">
      <c r="A37" s="73"/>
      <c r="B37" s="73"/>
      <c r="C37" s="73"/>
      <c r="D37" s="73"/>
      <c r="E37" s="73"/>
      <c r="F37" s="73"/>
      <c r="G37" s="73"/>
      <c r="H37" s="73"/>
      <c r="I37" s="73"/>
    </row>
    <row r="38" spans="1:9" ht="24" customHeight="1">
      <c r="A38" s="73"/>
      <c r="B38" s="73"/>
      <c r="C38" s="73"/>
      <c r="D38" s="73"/>
      <c r="E38" s="73"/>
      <c r="F38" s="73"/>
      <c r="G38" s="73"/>
      <c r="H38" s="73"/>
      <c r="I38" s="73"/>
    </row>
    <row r="39" spans="1:9" ht="24" customHeight="1">
      <c r="A39" s="73"/>
      <c r="B39" s="73"/>
      <c r="C39" s="73"/>
      <c r="D39" s="73"/>
      <c r="E39" s="73"/>
      <c r="F39" s="73"/>
      <c r="G39" s="73"/>
      <c r="H39" s="73"/>
      <c r="I39" s="73"/>
    </row>
    <row r="40" spans="1:9" ht="24" customHeight="1">
      <c r="A40" s="73"/>
      <c r="B40" s="73"/>
      <c r="C40" s="73"/>
      <c r="D40" s="73"/>
      <c r="E40" s="73"/>
      <c r="F40" s="73"/>
      <c r="G40" s="73"/>
      <c r="H40" s="73"/>
      <c r="I40" s="73"/>
    </row>
    <row r="41" spans="1:9" ht="24" customHeight="1">
      <c r="A41" s="73"/>
      <c r="B41" s="73"/>
      <c r="C41" s="73"/>
      <c r="D41" s="73"/>
      <c r="E41" s="73"/>
      <c r="F41" s="73"/>
      <c r="G41" s="73"/>
      <c r="H41" s="73"/>
      <c r="I41" s="73"/>
    </row>
    <row r="42" spans="1:9" ht="24" customHeight="1">
      <c r="A42" s="73"/>
      <c r="B42" s="73"/>
      <c r="C42" s="73"/>
      <c r="D42" s="73"/>
      <c r="E42" s="73"/>
      <c r="F42" s="73"/>
      <c r="G42" s="73"/>
      <c r="H42" s="73"/>
      <c r="I42" s="73"/>
    </row>
    <row r="43" spans="1:9" ht="24" customHeight="1">
      <c r="A43" s="73"/>
      <c r="B43" s="73"/>
      <c r="C43" s="73"/>
      <c r="D43" s="73"/>
      <c r="E43" s="73"/>
      <c r="F43" s="73"/>
      <c r="G43" s="73"/>
      <c r="H43" s="73"/>
      <c r="I43" s="73"/>
    </row>
    <row r="44" spans="1:9" ht="24" customHeight="1">
      <c r="A44" s="73"/>
      <c r="B44" s="73"/>
      <c r="C44" s="73"/>
      <c r="D44" s="73"/>
      <c r="E44" s="73"/>
      <c r="F44" s="73"/>
      <c r="G44" s="73"/>
      <c r="H44" s="73"/>
      <c r="I44" s="73"/>
    </row>
    <row r="45" spans="1:9" ht="24" customHeight="1">
      <c r="A45" s="73"/>
      <c r="B45" s="73"/>
      <c r="C45" s="73"/>
      <c r="D45" s="73"/>
      <c r="E45" s="73"/>
      <c r="F45" s="73"/>
      <c r="G45" s="73"/>
      <c r="H45" s="73"/>
      <c r="I45" s="73"/>
    </row>
    <row r="46" spans="1:9" ht="24" customHeight="1">
      <c r="A46" s="73"/>
      <c r="B46" s="73"/>
      <c r="C46" s="73"/>
      <c r="D46" s="73"/>
      <c r="E46" s="73"/>
      <c r="F46" s="73"/>
      <c r="G46" s="73"/>
      <c r="H46" s="73"/>
      <c r="I46" s="73"/>
    </row>
    <row r="47" spans="1:9" ht="24" customHeight="1">
      <c r="A47" s="73"/>
      <c r="B47" s="73"/>
      <c r="C47" s="73"/>
      <c r="D47" s="73"/>
      <c r="E47" s="73"/>
      <c r="F47" s="73"/>
      <c r="G47" s="73"/>
      <c r="H47" s="73"/>
      <c r="I47" s="73"/>
    </row>
    <row r="48" spans="1:9" ht="24" customHeight="1">
      <c r="A48" s="73"/>
      <c r="B48" s="73"/>
      <c r="C48" s="73"/>
      <c r="D48" s="73"/>
      <c r="E48" s="73"/>
      <c r="F48" s="73"/>
      <c r="G48" s="73"/>
      <c r="H48" s="73"/>
      <c r="I48" s="73"/>
    </row>
    <row r="49" spans="1:9" ht="24" customHeight="1">
      <c r="A49" s="73"/>
      <c r="B49" s="73"/>
      <c r="C49" s="73"/>
      <c r="D49" s="73"/>
      <c r="E49" s="73"/>
      <c r="F49" s="73"/>
      <c r="G49" s="73"/>
      <c r="H49" s="73"/>
      <c r="I49" s="73"/>
    </row>
    <row r="50" spans="1:9" ht="24" customHeight="1">
      <c r="A50" s="73"/>
      <c r="B50" s="73"/>
      <c r="C50" s="73"/>
      <c r="D50" s="73"/>
      <c r="E50" s="73"/>
      <c r="F50" s="73"/>
      <c r="G50" s="73"/>
      <c r="H50" s="73"/>
      <c r="I50" s="73"/>
    </row>
    <row r="51" spans="1:9" ht="24" customHeight="1">
      <c r="A51" s="73"/>
      <c r="B51" s="73"/>
      <c r="C51" s="73"/>
      <c r="D51" s="73"/>
      <c r="E51" s="73"/>
      <c r="F51" s="73"/>
      <c r="G51" s="73"/>
      <c r="H51" s="73"/>
      <c r="I51" s="73"/>
    </row>
    <row r="52" spans="1:9" ht="24" customHeight="1">
      <c r="A52" s="73"/>
      <c r="B52" s="73"/>
      <c r="C52" s="73"/>
      <c r="D52" s="73"/>
      <c r="E52" s="73"/>
      <c r="F52" s="73"/>
      <c r="G52" s="73"/>
      <c r="H52" s="73"/>
      <c r="I52" s="73"/>
    </row>
    <row r="53" spans="1:9" ht="24" customHeight="1">
      <c r="A53" s="73"/>
      <c r="B53" s="73"/>
      <c r="C53" s="73"/>
      <c r="D53" s="73"/>
      <c r="E53" s="73"/>
      <c r="F53" s="73"/>
      <c r="G53" s="73"/>
      <c r="H53" s="73"/>
      <c r="I53" s="73"/>
    </row>
    <row r="54" spans="1:9" ht="24" customHeight="1">
      <c r="A54" s="73"/>
      <c r="B54" s="73"/>
      <c r="C54" s="73"/>
      <c r="D54" s="73"/>
      <c r="E54" s="73"/>
      <c r="F54" s="73"/>
      <c r="G54" s="73"/>
      <c r="H54" s="73"/>
      <c r="I54" s="73"/>
    </row>
    <row r="55" spans="1:9" ht="24" customHeight="1">
      <c r="A55" s="73"/>
      <c r="B55" s="73"/>
      <c r="C55" s="73"/>
      <c r="D55" s="73"/>
      <c r="E55" s="73"/>
      <c r="F55" s="73"/>
      <c r="G55" s="73"/>
      <c r="H55" s="73"/>
      <c r="I55" s="73"/>
    </row>
    <row r="56" spans="1:9" ht="24" customHeight="1">
      <c r="A56" s="73"/>
      <c r="B56" s="73"/>
      <c r="C56" s="73"/>
      <c r="D56" s="73"/>
      <c r="E56" s="73"/>
      <c r="F56" s="73"/>
      <c r="G56" s="73"/>
      <c r="H56" s="73"/>
      <c r="I56" s="73"/>
    </row>
    <row r="57" spans="1:9" ht="24" customHeight="1">
      <c r="A57" s="73"/>
      <c r="B57" s="73"/>
      <c r="C57" s="73"/>
      <c r="D57" s="73"/>
      <c r="E57" s="73"/>
      <c r="F57" s="73"/>
      <c r="G57" s="73"/>
      <c r="H57" s="73"/>
      <c r="I57" s="73"/>
    </row>
    <row r="58" spans="1:9" ht="24" customHeight="1">
      <c r="A58" s="73"/>
      <c r="B58" s="73"/>
      <c r="C58" s="73"/>
      <c r="D58" s="73"/>
      <c r="E58" s="73"/>
      <c r="F58" s="73"/>
      <c r="G58" s="73"/>
      <c r="H58" s="73"/>
      <c r="I58" s="73"/>
    </row>
    <row r="59" spans="1:9" ht="24" customHeight="1">
      <c r="A59" s="73"/>
      <c r="B59" s="73"/>
      <c r="C59" s="73"/>
      <c r="D59" s="73"/>
      <c r="E59" s="73"/>
      <c r="F59" s="73"/>
      <c r="G59" s="73"/>
      <c r="H59" s="73"/>
      <c r="I59" s="73"/>
    </row>
    <row r="60" spans="1:9" ht="24" customHeight="1">
      <c r="A60" s="73"/>
      <c r="B60" s="73"/>
      <c r="C60" s="73"/>
      <c r="D60" s="73"/>
      <c r="E60" s="73"/>
      <c r="F60" s="73"/>
      <c r="G60" s="73"/>
      <c r="H60" s="73"/>
      <c r="I60" s="73"/>
    </row>
    <row r="61" spans="1:9" ht="24" customHeight="1">
      <c r="A61" s="73"/>
      <c r="B61" s="73"/>
      <c r="C61" s="73"/>
      <c r="D61" s="73"/>
      <c r="E61" s="73"/>
      <c r="F61" s="73"/>
      <c r="G61" s="73"/>
      <c r="H61" s="73"/>
      <c r="I61" s="73"/>
    </row>
    <row r="62" spans="1:9" ht="24" customHeight="1">
      <c r="A62" s="73"/>
      <c r="B62" s="73"/>
      <c r="C62" s="73"/>
      <c r="D62" s="73"/>
      <c r="E62" s="73"/>
      <c r="F62" s="73"/>
      <c r="G62" s="73"/>
      <c r="H62" s="73"/>
      <c r="I62" s="73"/>
    </row>
  </sheetData>
  <dataValidations count="2">
    <dataValidation type="list" sqref="G11:G16" xr:uid="{00000000-0002-0000-0400-000000000000}">
      <formula1>"Open,In progress,Waiting,Completed,Cancelled"</formula1>
    </dataValidation>
    <dataValidation type="decimal" operator="greaterThanOrEqual" sqref="H11:H16 E24:E29" xr:uid="{00000000-0002-0000-0400-000001000000}">
      <formula1>0</formula1>
    </dataValidation>
  </dataValidation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26685"/>
  </sheetPr>
  <dimension ref="A1:E75"/>
  <sheetViews>
    <sheetView showGridLines="0" workbookViewId="0">
      <pane ySplit="6" topLeftCell="A7" activePane="bottomLeft" state="frozen"/>
      <selection pane="bottomLeft" activeCell="A11" sqref="A11"/>
    </sheetView>
  </sheetViews>
  <sheetFormatPr defaultRowHeight="14.25"/>
  <cols>
    <col min="1" max="1" width="24" customWidth="1"/>
    <col min="2" max="2" width="28" customWidth="1"/>
    <col min="3" max="3" width="29" customWidth="1"/>
    <col min="4" max="4" width="30" customWidth="1"/>
    <col min="5" max="5" width="51" customWidth="1"/>
  </cols>
  <sheetData>
    <row r="1" spans="1:5" ht="24" customHeight="1">
      <c r="A1" s="1"/>
      <c r="B1" s="1"/>
      <c r="C1" s="1"/>
      <c r="D1" s="1"/>
      <c r="E1" s="1"/>
    </row>
    <row r="2" spans="1:5" ht="33" customHeight="1">
      <c r="A2" s="2" t="s">
        <v>374</v>
      </c>
      <c r="B2" s="1"/>
      <c r="C2" s="1"/>
      <c r="D2" s="1"/>
      <c r="E2" s="1"/>
    </row>
    <row r="3" spans="1:5" ht="24" customHeight="1">
      <c r="A3" s="1"/>
      <c r="B3" s="1"/>
      <c r="C3" s="1"/>
      <c r="D3" s="1"/>
      <c r="E3" s="1"/>
    </row>
    <row r="4" spans="1:5" ht="24" customHeight="1">
      <c r="A4" s="3" t="s">
        <v>375</v>
      </c>
      <c r="B4" s="1"/>
      <c r="C4" s="1"/>
      <c r="D4" s="1"/>
      <c r="E4" s="1"/>
    </row>
    <row r="5" spans="1:5" ht="24" customHeight="1">
      <c r="A5" s="4" t="s">
        <v>376</v>
      </c>
      <c r="B5" s="1"/>
      <c r="C5" s="1"/>
      <c r="D5" s="1"/>
      <c r="E5" s="1"/>
    </row>
    <row r="6" spans="1:5" ht="24" customHeight="1">
      <c r="A6" s="1"/>
      <c r="B6" s="1"/>
      <c r="C6" s="1"/>
      <c r="D6" s="1"/>
      <c r="E6" s="1"/>
    </row>
    <row r="7" spans="1:5" ht="30" customHeight="1">
      <c r="A7" s="11" t="s">
        <v>377</v>
      </c>
      <c r="B7" s="10"/>
      <c r="C7" s="10"/>
      <c r="D7" s="10"/>
      <c r="E7" s="10"/>
    </row>
    <row r="8" spans="1:5" ht="24" customHeight="1">
      <c r="A8" s="4" t="s">
        <v>378</v>
      </c>
      <c r="B8" s="1"/>
      <c r="C8" s="1"/>
      <c r="D8" s="1"/>
      <c r="E8" s="1"/>
    </row>
    <row r="9" spans="1:5" ht="24" customHeight="1">
      <c r="A9" s="4" t="s">
        <v>379</v>
      </c>
      <c r="B9" s="1"/>
      <c r="C9" s="1"/>
      <c r="D9" s="1"/>
      <c r="E9" s="1"/>
    </row>
    <row r="10" spans="1:5" ht="57.95" customHeight="1">
      <c r="A10" s="12" t="s">
        <v>380</v>
      </c>
      <c r="B10" s="12" t="s">
        <v>381</v>
      </c>
      <c r="C10" s="12" t="s">
        <v>382</v>
      </c>
      <c r="D10" s="12" t="s">
        <v>383</v>
      </c>
      <c r="E10" s="12" t="s">
        <v>384</v>
      </c>
    </row>
    <row r="11" spans="1:5" ht="40.5" customHeight="1">
      <c r="A11" s="21">
        <v>46266</v>
      </c>
      <c r="B11" s="13" t="s">
        <v>385</v>
      </c>
      <c r="C11" s="16">
        <v>26000</v>
      </c>
      <c r="D11" s="23">
        <v>0.25</v>
      </c>
      <c r="E11" s="16">
        <v>17000</v>
      </c>
    </row>
    <row r="12" spans="1:5" ht="40.5" customHeight="1">
      <c r="A12" s="21">
        <v>46266</v>
      </c>
      <c r="B12" s="13" t="s">
        <v>386</v>
      </c>
      <c r="C12" s="16">
        <v>32000</v>
      </c>
      <c r="D12" s="23">
        <v>0.3</v>
      </c>
      <c r="E12" s="16">
        <v>22000</v>
      </c>
    </row>
    <row r="13" spans="1:5" ht="29.1" customHeight="1">
      <c r="A13" s="22"/>
      <c r="B13" s="9"/>
      <c r="C13" s="17"/>
      <c r="D13" s="24"/>
      <c r="E13" s="17"/>
    </row>
    <row r="14" spans="1:5" ht="29.1" customHeight="1">
      <c r="A14" s="22"/>
      <c r="B14" s="9"/>
      <c r="C14" s="17"/>
      <c r="D14" s="24"/>
      <c r="E14" s="17"/>
    </row>
    <row r="15" spans="1:5" ht="29.1" customHeight="1">
      <c r="A15" s="22"/>
      <c r="B15" s="9"/>
      <c r="C15" s="17"/>
      <c r="D15" s="24"/>
      <c r="E15" s="17"/>
    </row>
    <row r="16" spans="1:5" ht="29.1" customHeight="1">
      <c r="A16" s="22"/>
      <c r="B16" s="9"/>
      <c r="C16" s="17"/>
      <c r="D16" s="24"/>
      <c r="E16" s="17"/>
    </row>
    <row r="17" spans="1:5" ht="24" customHeight="1">
      <c r="A17" s="1"/>
      <c r="B17" s="1"/>
      <c r="C17" s="1"/>
      <c r="D17" s="1"/>
      <c r="E17" s="1"/>
    </row>
    <row r="18" spans="1:5" ht="24" customHeight="1">
      <c r="A18" s="1"/>
      <c r="B18" s="1"/>
      <c r="C18" s="1"/>
      <c r="D18" s="1"/>
      <c r="E18" s="1"/>
    </row>
    <row r="19" spans="1:5" ht="24" customHeight="1">
      <c r="A19" s="1"/>
      <c r="B19" s="1"/>
      <c r="C19" s="1"/>
      <c r="D19" s="1"/>
      <c r="E19" s="1"/>
    </row>
    <row r="20" spans="1:5" ht="30" customHeight="1">
      <c r="A20" s="11" t="s">
        <v>387</v>
      </c>
      <c r="B20" s="10"/>
      <c r="C20" s="10"/>
      <c r="D20" s="10"/>
      <c r="E20" s="10"/>
    </row>
    <row r="21" spans="1:5" ht="24" customHeight="1">
      <c r="A21" s="4" t="s">
        <v>388</v>
      </c>
      <c r="B21" s="1"/>
      <c r="C21" s="1"/>
      <c r="D21" s="1"/>
      <c r="E21" s="1"/>
    </row>
    <row r="22" spans="1:5" ht="24" customHeight="1">
      <c r="A22" s="4" t="s">
        <v>389</v>
      </c>
      <c r="B22" s="1"/>
      <c r="C22" s="1"/>
      <c r="D22" s="1"/>
      <c r="E22" s="1"/>
    </row>
    <row r="23" spans="1:5" ht="57.95" customHeight="1">
      <c r="A23" s="12" t="s">
        <v>390</v>
      </c>
      <c r="B23" s="12" t="s">
        <v>391</v>
      </c>
      <c r="C23" s="12" t="s">
        <v>392</v>
      </c>
      <c r="D23" s="12" t="s">
        <v>393</v>
      </c>
      <c r="E23" s="12" t="s">
        <v>394</v>
      </c>
    </row>
    <row r="24" spans="1:5" ht="68.099999999999994" customHeight="1">
      <c r="A24" s="21">
        <v>46266</v>
      </c>
      <c r="B24" s="13" t="s">
        <v>366</v>
      </c>
      <c r="C24" s="13" t="s">
        <v>395</v>
      </c>
      <c r="D24" s="13">
        <v>14</v>
      </c>
      <c r="E24" s="13" t="s">
        <v>396</v>
      </c>
    </row>
    <row r="25" spans="1:5" ht="68.099999999999994" customHeight="1">
      <c r="A25" s="21">
        <v>46266</v>
      </c>
      <c r="B25" s="13" t="s">
        <v>397</v>
      </c>
      <c r="C25" s="13" t="s">
        <v>398</v>
      </c>
      <c r="D25" s="13">
        <v>90</v>
      </c>
      <c r="E25" s="13" t="s">
        <v>399</v>
      </c>
    </row>
    <row r="26" spans="1:5" ht="29.1" customHeight="1">
      <c r="A26" s="22"/>
      <c r="B26" s="9"/>
      <c r="C26" s="9"/>
      <c r="D26" s="9"/>
      <c r="E26" s="9"/>
    </row>
    <row r="27" spans="1:5" ht="29.1" customHeight="1">
      <c r="A27" s="22"/>
      <c r="B27" s="9"/>
      <c r="C27" s="9"/>
      <c r="D27" s="9"/>
      <c r="E27" s="9"/>
    </row>
    <row r="28" spans="1:5" ht="29.1" customHeight="1">
      <c r="A28" s="22"/>
      <c r="B28" s="9"/>
      <c r="C28" s="9"/>
      <c r="D28" s="9"/>
      <c r="E28" s="9"/>
    </row>
    <row r="29" spans="1:5" ht="29.1" customHeight="1">
      <c r="A29" s="22"/>
      <c r="B29" s="9"/>
      <c r="C29" s="9"/>
      <c r="D29" s="9"/>
      <c r="E29" s="9"/>
    </row>
    <row r="30" spans="1:5" ht="24" customHeight="1">
      <c r="A30" s="1"/>
      <c r="B30" s="1"/>
      <c r="C30" s="1"/>
      <c r="D30" s="1"/>
      <c r="E30" s="1"/>
    </row>
    <row r="31" spans="1:5" ht="24" customHeight="1">
      <c r="A31" s="1"/>
      <c r="B31" s="1"/>
      <c r="C31" s="1"/>
      <c r="D31" s="1"/>
      <c r="E31" s="1"/>
    </row>
    <row r="32" spans="1:5" ht="24" customHeight="1">
      <c r="A32" s="1"/>
      <c r="B32" s="1"/>
      <c r="C32" s="1"/>
      <c r="D32" s="1"/>
      <c r="E32" s="1"/>
    </row>
    <row r="33" spans="1:5" ht="24" customHeight="1">
      <c r="A33" s="1"/>
      <c r="B33" s="1"/>
      <c r="C33" s="1"/>
      <c r="D33" s="1"/>
      <c r="E33" s="1"/>
    </row>
    <row r="34" spans="1:5" ht="24" customHeight="1">
      <c r="A34" s="1"/>
      <c r="B34" s="1"/>
      <c r="C34" s="1"/>
      <c r="D34" s="1"/>
      <c r="E34" s="1"/>
    </row>
    <row r="35" spans="1:5" ht="24" customHeight="1">
      <c r="A35" s="1"/>
      <c r="B35" s="1"/>
      <c r="C35" s="1"/>
      <c r="D35" s="1"/>
      <c r="E35" s="1"/>
    </row>
    <row r="36" spans="1:5" ht="24" customHeight="1">
      <c r="A36" s="4" t="s">
        <v>400</v>
      </c>
      <c r="B36" s="1"/>
      <c r="C36" s="1"/>
      <c r="D36" s="1"/>
      <c r="E36" s="1"/>
    </row>
    <row r="37" spans="1:5" ht="24" customHeight="1">
      <c r="A37" s="4" t="s">
        <v>401</v>
      </c>
      <c r="B37" s="1"/>
      <c r="C37" s="1"/>
      <c r="D37" s="1"/>
      <c r="E37" s="1"/>
    </row>
    <row r="38" spans="1:5" ht="24" customHeight="1">
      <c r="A38" s="4" t="s">
        <v>402</v>
      </c>
      <c r="B38" s="1"/>
      <c r="C38" s="1"/>
      <c r="D38" s="1"/>
      <c r="E38" s="1"/>
    </row>
    <row r="39" spans="1:5" ht="24" customHeight="1">
      <c r="A39" s="1"/>
      <c r="B39" s="1"/>
      <c r="C39" s="1"/>
      <c r="D39" s="1"/>
      <c r="E39" s="1"/>
    </row>
    <row r="40" spans="1:5" ht="24" customHeight="1">
      <c r="A40" s="1"/>
      <c r="B40" s="1"/>
      <c r="C40" s="1"/>
      <c r="D40" s="1"/>
      <c r="E40" s="1"/>
    </row>
    <row r="41" spans="1:5" ht="24" customHeight="1">
      <c r="A41" s="1"/>
      <c r="B41" s="1"/>
      <c r="C41" s="1"/>
      <c r="D41" s="1"/>
      <c r="E41" s="1"/>
    </row>
    <row r="42" spans="1:5" ht="24" customHeight="1">
      <c r="A42" s="1"/>
      <c r="B42" s="1"/>
      <c r="C42" s="1"/>
      <c r="D42" s="1"/>
      <c r="E42" s="1"/>
    </row>
    <row r="43" spans="1:5" ht="24" customHeight="1">
      <c r="A43" s="1"/>
      <c r="B43" s="1"/>
      <c r="C43" s="1"/>
      <c r="D43" s="1"/>
      <c r="E43" s="1"/>
    </row>
    <row r="44" spans="1:5" ht="24" customHeight="1">
      <c r="A44" s="1"/>
      <c r="B44" s="1"/>
      <c r="C44" s="1"/>
      <c r="D44" s="1"/>
      <c r="E44" s="1"/>
    </row>
    <row r="45" spans="1:5" ht="24" customHeight="1">
      <c r="A45" s="1"/>
      <c r="B45" s="1"/>
      <c r="C45" s="1"/>
      <c r="D45" s="1"/>
      <c r="E45" s="1"/>
    </row>
    <row r="46" spans="1:5" ht="24" customHeight="1">
      <c r="A46" s="1"/>
      <c r="B46" s="1"/>
      <c r="C46" s="1"/>
      <c r="D46" s="1"/>
      <c r="E46" s="1"/>
    </row>
    <row r="47" spans="1:5" ht="24" customHeight="1">
      <c r="A47" s="1"/>
      <c r="B47" s="1"/>
      <c r="C47" s="1"/>
      <c r="D47" s="1"/>
      <c r="E47" s="1"/>
    </row>
    <row r="48" spans="1:5" ht="24" customHeight="1">
      <c r="A48" s="1"/>
      <c r="B48" s="1"/>
      <c r="C48" s="1"/>
      <c r="D48" s="1"/>
      <c r="E48" s="1"/>
    </row>
    <row r="49" spans="1:5" ht="24" customHeight="1">
      <c r="A49" s="1"/>
      <c r="B49" s="1"/>
      <c r="C49" s="1"/>
      <c r="D49" s="1"/>
      <c r="E49" s="1"/>
    </row>
    <row r="50" spans="1:5" ht="24" customHeight="1">
      <c r="A50" s="1"/>
      <c r="B50" s="1"/>
      <c r="C50" s="1"/>
      <c r="D50" s="1"/>
      <c r="E50" s="1"/>
    </row>
    <row r="51" spans="1:5" ht="24" customHeight="1">
      <c r="A51" s="1"/>
      <c r="B51" s="1"/>
      <c r="C51" s="1"/>
      <c r="D51" s="1"/>
      <c r="E51" s="1"/>
    </row>
    <row r="52" spans="1:5" ht="24" customHeight="1">
      <c r="A52" s="1"/>
      <c r="B52" s="1"/>
      <c r="C52" s="1"/>
      <c r="D52" s="1"/>
      <c r="E52" s="1"/>
    </row>
    <row r="53" spans="1:5" ht="24" customHeight="1">
      <c r="A53" s="1"/>
      <c r="B53" s="1"/>
      <c r="C53" s="1"/>
      <c r="D53" s="1"/>
      <c r="E53" s="1"/>
    </row>
    <row r="54" spans="1:5" ht="24" customHeight="1">
      <c r="A54" s="1"/>
      <c r="B54" s="1"/>
      <c r="C54" s="1"/>
      <c r="D54" s="1"/>
      <c r="E54" s="1"/>
    </row>
    <row r="55" spans="1:5" ht="24" customHeight="1">
      <c r="A55" s="1"/>
      <c r="B55" s="1"/>
      <c r="C55" s="1"/>
      <c r="D55" s="1"/>
      <c r="E55" s="1"/>
    </row>
    <row r="56" spans="1:5" ht="24" customHeight="1">
      <c r="A56" s="1"/>
      <c r="B56" s="1"/>
      <c r="C56" s="1"/>
      <c r="D56" s="1"/>
      <c r="E56" s="1"/>
    </row>
    <row r="57" spans="1:5" ht="24" customHeight="1">
      <c r="A57" s="1"/>
      <c r="B57" s="1"/>
      <c r="C57" s="1"/>
      <c r="D57" s="1"/>
      <c r="E57" s="1"/>
    </row>
    <row r="58" spans="1:5" ht="24" customHeight="1">
      <c r="A58" s="1"/>
      <c r="B58" s="1"/>
      <c r="C58" s="1"/>
      <c r="D58" s="1"/>
      <c r="E58" s="1"/>
    </row>
    <row r="59" spans="1:5" ht="24" customHeight="1">
      <c r="A59" s="1"/>
      <c r="B59" s="1"/>
      <c r="C59" s="1"/>
      <c r="D59" s="1"/>
      <c r="E59" s="1"/>
    </row>
    <row r="60" spans="1:5" ht="24" customHeight="1">
      <c r="A60" s="1"/>
      <c r="B60" s="1"/>
      <c r="C60" s="1"/>
      <c r="D60" s="1"/>
      <c r="E60" s="1"/>
    </row>
    <row r="61" spans="1:5" ht="24" customHeight="1">
      <c r="A61" s="1"/>
      <c r="B61" s="1"/>
      <c r="C61" s="1"/>
      <c r="D61" s="1"/>
      <c r="E61" s="1"/>
    </row>
    <row r="62" spans="1:5" ht="24" customHeight="1">
      <c r="A62" s="1"/>
      <c r="B62" s="1"/>
      <c r="C62" s="1"/>
      <c r="D62" s="1"/>
      <c r="E62" s="1"/>
    </row>
    <row r="63" spans="1:5" ht="24" customHeight="1">
      <c r="A63" s="1"/>
      <c r="B63" s="1"/>
      <c r="C63" s="1"/>
      <c r="D63" s="1"/>
      <c r="E63" s="1"/>
    </row>
    <row r="64" spans="1:5" ht="24" customHeight="1">
      <c r="A64" s="1"/>
      <c r="B64" s="1"/>
      <c r="C64" s="1"/>
      <c r="D64" s="1"/>
      <c r="E64" s="1"/>
    </row>
    <row r="65" spans="1:5" ht="24" customHeight="1">
      <c r="A65" s="1"/>
      <c r="B65" s="1"/>
      <c r="C65" s="1"/>
      <c r="D65" s="1"/>
      <c r="E65" s="1"/>
    </row>
    <row r="66" spans="1:5" ht="24" customHeight="1">
      <c r="A66" s="1"/>
      <c r="B66" s="1"/>
      <c r="C66" s="1"/>
      <c r="D66" s="1"/>
      <c r="E66" s="1"/>
    </row>
    <row r="67" spans="1:5" ht="24" customHeight="1">
      <c r="A67" s="1"/>
      <c r="B67" s="1"/>
      <c r="C67" s="1"/>
      <c r="D67" s="1"/>
      <c r="E67" s="1"/>
    </row>
    <row r="68" spans="1:5" ht="24" customHeight="1">
      <c r="A68" s="1"/>
      <c r="B68" s="1"/>
      <c r="C68" s="1"/>
      <c r="D68" s="1"/>
      <c r="E68" s="1"/>
    </row>
    <row r="69" spans="1:5" ht="24" customHeight="1">
      <c r="A69" s="1"/>
      <c r="B69" s="1"/>
      <c r="C69" s="1"/>
      <c r="D69" s="1"/>
      <c r="E69" s="1"/>
    </row>
    <row r="70" spans="1:5" ht="24" customHeight="1">
      <c r="A70" s="1"/>
      <c r="B70" s="1"/>
      <c r="C70" s="1"/>
      <c r="D70" s="1"/>
      <c r="E70" s="1"/>
    </row>
    <row r="71" spans="1:5" ht="24" customHeight="1">
      <c r="A71" s="1"/>
      <c r="B71" s="1"/>
      <c r="C71" s="1"/>
      <c r="D71" s="1"/>
      <c r="E71" s="1"/>
    </row>
    <row r="72" spans="1:5" ht="24" customHeight="1">
      <c r="A72" s="1"/>
      <c r="B72" s="1"/>
      <c r="C72" s="1"/>
      <c r="D72" s="1"/>
      <c r="E72" s="1"/>
    </row>
    <row r="73" spans="1:5" ht="24" customHeight="1">
      <c r="A73" s="1"/>
      <c r="B73" s="1"/>
      <c r="C73" s="1"/>
      <c r="D73" s="1"/>
      <c r="E73" s="1"/>
    </row>
    <row r="74" spans="1:5" ht="24" customHeight="1">
      <c r="A74" s="1"/>
      <c r="B74" s="1"/>
      <c r="C74" s="1"/>
      <c r="D74" s="1"/>
      <c r="E74" s="1"/>
    </row>
    <row r="75" spans="1:5" ht="24" customHeight="1">
      <c r="A75" s="1"/>
      <c r="B75" s="1"/>
      <c r="C75" s="1"/>
      <c r="D75" s="1"/>
      <c r="E75" s="1"/>
    </row>
  </sheetData>
  <dataValidations count="4">
    <dataValidation type="list" sqref="B11:B16" xr:uid="{00000000-0002-0000-0500-000000000000}">
      <formula1>"All,Equipment,Devices,Consumables"</formula1>
    </dataValidation>
    <dataValidation type="decimal" operator="greaterThanOrEqual" sqref="C11:C16 E11:E16" xr:uid="{00000000-0002-0000-0500-000001000000}">
      <formula1>0</formula1>
    </dataValidation>
    <dataValidation type="decimal" sqref="D11:D16" xr:uid="{00000000-0002-0000-0500-000002000000}">
      <formula1>0</formula1>
      <formula2>1</formula2>
    </dataValidation>
    <dataValidation type="list" sqref="C24:C29" xr:uid="{00000000-0002-0000-0500-000004000000}">
      <formula1>"Product category,Manufacturer,Counting unit,Pack conversion,Account owner,Supplier status,Lead time days,Safety buffer days,Slow-stock review days,Expiry warning days,Gap recovery share %,Extra-sales margin %,Renewal warning days,Age review years"</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35E50"/>
  </sheetPr>
  <dimension ref="A1:K60"/>
  <sheetViews>
    <sheetView showGridLines="0" workbookViewId="0">
      <pane ySplit="6" topLeftCell="A7" activePane="bottomLeft" state="frozen"/>
      <selection pane="bottomLeft" activeCell="E15" sqref="E15"/>
    </sheetView>
  </sheetViews>
  <sheetFormatPr defaultRowHeight="14.25"/>
  <cols>
    <col min="1" max="1" width="22" customWidth="1"/>
    <col min="2" max="2" width="17" customWidth="1"/>
    <col min="3" max="3" width="22" customWidth="1"/>
    <col min="4" max="4" width="20" customWidth="1"/>
    <col min="5" max="5" width="37" customWidth="1"/>
    <col min="6" max="6" width="21" customWidth="1"/>
    <col min="7" max="7" width="22" customWidth="1"/>
    <col min="8" max="8" width="23" customWidth="1"/>
    <col min="9" max="9" width="31" customWidth="1"/>
    <col min="10" max="10" width="21" customWidth="1"/>
    <col min="11" max="11" width="23" customWidth="1"/>
  </cols>
  <sheetData>
    <row r="1" spans="1:11" ht="24" customHeight="1">
      <c r="A1" s="1"/>
      <c r="B1" s="1"/>
      <c r="C1" s="1"/>
      <c r="D1" s="1"/>
      <c r="E1" s="1"/>
      <c r="F1" s="1"/>
      <c r="G1" s="1"/>
      <c r="H1" s="1"/>
      <c r="I1" s="1"/>
      <c r="J1" s="1"/>
      <c r="K1" s="1"/>
    </row>
    <row r="2" spans="1:11" ht="33" customHeight="1">
      <c r="A2" s="2" t="s">
        <v>403</v>
      </c>
      <c r="B2" s="1"/>
      <c r="C2" s="1"/>
      <c r="D2" s="1"/>
      <c r="E2" s="1"/>
      <c r="F2" s="1"/>
      <c r="G2" s="1"/>
      <c r="H2" s="1"/>
      <c r="I2" s="1"/>
      <c r="J2" s="1"/>
      <c r="K2" s="1"/>
    </row>
    <row r="3" spans="1:11" ht="24" customHeight="1">
      <c r="A3" s="1"/>
      <c r="B3" s="1"/>
      <c r="C3" s="1"/>
      <c r="D3" s="1"/>
      <c r="E3" s="1"/>
      <c r="F3" s="1"/>
      <c r="G3" s="1"/>
      <c r="H3" s="1"/>
      <c r="I3" s="1"/>
      <c r="J3" s="1"/>
      <c r="K3" s="1"/>
    </row>
    <row r="4" spans="1:11" ht="24" customHeight="1">
      <c r="A4" s="3" t="s">
        <v>404</v>
      </c>
      <c r="B4" s="1"/>
      <c r="C4" s="1"/>
      <c r="D4" s="1"/>
      <c r="E4" s="1"/>
      <c r="F4" s="1"/>
      <c r="G4" s="1"/>
      <c r="H4" s="1"/>
      <c r="I4" s="1"/>
      <c r="J4" s="1"/>
      <c r="K4" s="1"/>
    </row>
    <row r="5" spans="1:11" ht="24" customHeight="1">
      <c r="A5" s="4" t="s">
        <v>405</v>
      </c>
      <c r="B5" s="1"/>
      <c r="C5" s="1"/>
      <c r="D5" s="1"/>
      <c r="E5" s="1"/>
      <c r="F5" s="1"/>
      <c r="G5" s="1"/>
      <c r="H5" s="1"/>
      <c r="I5" s="1"/>
      <c r="J5" s="1"/>
      <c r="K5" s="1"/>
    </row>
    <row r="6" spans="1:11" ht="24" customHeight="1">
      <c r="A6" s="1"/>
      <c r="B6" s="1"/>
      <c r="C6" s="1"/>
      <c r="D6" s="1"/>
      <c r="E6" s="1"/>
      <c r="F6" s="1"/>
      <c r="G6" s="1"/>
      <c r="H6" s="1"/>
      <c r="I6" s="1"/>
      <c r="J6" s="1"/>
      <c r="K6" s="1"/>
    </row>
    <row r="7" spans="1:11" ht="30" customHeight="1">
      <c r="A7" s="11" t="s">
        <v>406</v>
      </c>
      <c r="B7" s="10"/>
      <c r="C7" s="10"/>
      <c r="D7" s="10"/>
      <c r="E7" s="10"/>
      <c r="F7" s="10"/>
      <c r="G7" s="10"/>
      <c r="H7" s="10"/>
      <c r="I7" s="10"/>
      <c r="J7" s="10"/>
      <c r="K7" s="10"/>
    </row>
    <row r="8" spans="1:11" ht="24" customHeight="1">
      <c r="A8" s="4" t="s">
        <v>407</v>
      </c>
      <c r="B8" s="1"/>
      <c r="C8" s="1"/>
      <c r="D8" s="1"/>
      <c r="E8" s="1"/>
      <c r="F8" s="1"/>
      <c r="G8" s="1"/>
      <c r="H8" s="1"/>
      <c r="I8" s="1"/>
      <c r="J8" s="1"/>
      <c r="K8" s="1"/>
    </row>
    <row r="9" spans="1:11" ht="24" customHeight="1">
      <c r="A9" s="4" t="s">
        <v>408</v>
      </c>
      <c r="B9" s="1"/>
      <c r="C9" s="1"/>
      <c r="D9" s="1"/>
      <c r="E9" s="1"/>
      <c r="F9" s="1"/>
      <c r="G9" s="1"/>
      <c r="H9" s="1"/>
      <c r="I9" s="1"/>
      <c r="J9" s="1"/>
      <c r="K9" s="1"/>
    </row>
    <row r="10" spans="1:11" ht="45.75" customHeight="1">
      <c r="A10" s="12" t="s">
        <v>409</v>
      </c>
      <c r="B10" s="12" t="s">
        <v>410</v>
      </c>
      <c r="C10" s="12" t="s">
        <v>411</v>
      </c>
      <c r="D10" s="12" t="s">
        <v>412</v>
      </c>
      <c r="E10" s="12" t="s">
        <v>413</v>
      </c>
      <c r="F10" s="12" t="s">
        <v>414</v>
      </c>
      <c r="G10" s="12" t="s">
        <v>415</v>
      </c>
      <c r="H10" s="12" t="s">
        <v>416</v>
      </c>
      <c r="I10" s="12" t="s">
        <v>417</v>
      </c>
      <c r="J10" s="12" t="s">
        <v>418</v>
      </c>
      <c r="K10" s="12" t="s">
        <v>340</v>
      </c>
    </row>
    <row r="11" spans="1:11" ht="45.75" customHeight="1">
      <c r="A11" s="13" t="s">
        <v>419</v>
      </c>
      <c r="B11" s="13" t="s">
        <v>420</v>
      </c>
      <c r="C11" s="13" t="s">
        <v>346</v>
      </c>
      <c r="D11" s="13" t="s">
        <v>385</v>
      </c>
      <c r="E11" s="13" t="s">
        <v>421</v>
      </c>
      <c r="F11" s="13" t="s">
        <v>422</v>
      </c>
      <c r="G11" s="16">
        <v>24000</v>
      </c>
      <c r="H11" s="16">
        <v>18600</v>
      </c>
      <c r="I11" s="13" t="s">
        <v>423</v>
      </c>
      <c r="J11" s="14">
        <v>46310</v>
      </c>
      <c r="K11" s="13" t="s">
        <v>348</v>
      </c>
    </row>
    <row r="12" spans="1:11" ht="45.75" customHeight="1">
      <c r="A12" s="13" t="s">
        <v>424</v>
      </c>
      <c r="B12" s="13" t="s">
        <v>420</v>
      </c>
      <c r="C12" s="13" t="s">
        <v>351</v>
      </c>
      <c r="D12" s="13" t="s">
        <v>386</v>
      </c>
      <c r="E12" s="13" t="s">
        <v>425</v>
      </c>
      <c r="F12" s="13" t="s">
        <v>422</v>
      </c>
      <c r="G12" s="16">
        <v>30000</v>
      </c>
      <c r="H12" s="16">
        <v>21900</v>
      </c>
      <c r="I12" s="13" t="s">
        <v>426</v>
      </c>
      <c r="J12" s="14">
        <v>46315</v>
      </c>
      <c r="K12" s="13" t="s">
        <v>353</v>
      </c>
    </row>
    <row r="13" spans="1:11" ht="45.75" customHeight="1">
      <c r="A13" s="9"/>
      <c r="B13" s="9"/>
      <c r="C13" s="9"/>
      <c r="D13" s="9"/>
      <c r="E13" s="9"/>
      <c r="F13" s="9"/>
      <c r="G13" s="17"/>
      <c r="H13" s="17"/>
      <c r="I13" s="9"/>
      <c r="J13" s="15"/>
      <c r="K13" s="9"/>
    </row>
    <row r="14" spans="1:11" ht="45.75" customHeight="1">
      <c r="A14" s="9"/>
      <c r="B14" s="9"/>
      <c r="C14" s="9"/>
      <c r="D14" s="9"/>
      <c r="E14" s="9"/>
      <c r="F14" s="9"/>
      <c r="G14" s="17"/>
      <c r="H14" s="17"/>
      <c r="I14" s="9"/>
      <c r="J14" s="15"/>
      <c r="K14" s="9"/>
    </row>
    <row r="15" spans="1:11" ht="45.75" customHeight="1">
      <c r="A15" s="9"/>
      <c r="B15" s="9"/>
      <c r="C15" s="9"/>
      <c r="D15" s="9"/>
      <c r="E15" s="9"/>
      <c r="F15" s="9"/>
      <c r="G15" s="17"/>
      <c r="H15" s="17"/>
      <c r="I15" s="9"/>
      <c r="J15" s="15"/>
      <c r="K15" s="9"/>
    </row>
    <row r="16" spans="1:11" ht="45.75" customHeight="1">
      <c r="A16" s="9"/>
      <c r="B16" s="9"/>
      <c r="C16" s="9"/>
      <c r="D16" s="9"/>
      <c r="E16" s="9"/>
      <c r="F16" s="9"/>
      <c r="G16" s="17"/>
      <c r="H16" s="17"/>
      <c r="I16" s="9"/>
      <c r="J16" s="15"/>
      <c r="K16" s="9"/>
    </row>
    <row r="17" spans="1:11" ht="45.75" customHeight="1">
      <c r="A17" s="1"/>
      <c r="B17" s="1"/>
      <c r="C17" s="1"/>
      <c r="D17" s="1"/>
      <c r="E17" s="1"/>
      <c r="F17" s="1"/>
      <c r="G17" s="1"/>
      <c r="H17" s="1"/>
      <c r="I17" s="1"/>
      <c r="J17" s="1"/>
      <c r="K17" s="1"/>
    </row>
    <row r="18" spans="1:11" ht="24" customHeight="1">
      <c r="A18" s="1"/>
      <c r="B18" s="1"/>
      <c r="C18" s="1"/>
      <c r="D18" s="1"/>
      <c r="E18" s="1"/>
      <c r="F18" s="1"/>
      <c r="G18" s="1"/>
      <c r="H18" s="1"/>
      <c r="I18" s="1"/>
      <c r="J18" s="1"/>
      <c r="K18" s="1"/>
    </row>
    <row r="19" spans="1:11" ht="24" customHeight="1">
      <c r="A19" s="1"/>
      <c r="B19" s="1"/>
      <c r="C19" s="1"/>
      <c r="D19" s="1"/>
      <c r="E19" s="1"/>
      <c r="F19" s="1"/>
      <c r="G19" s="1"/>
      <c r="H19" s="1"/>
      <c r="I19" s="1"/>
      <c r="J19" s="1"/>
      <c r="K19" s="1"/>
    </row>
    <row r="20" spans="1:11" ht="30" customHeight="1">
      <c r="A20" s="11" t="s">
        <v>427</v>
      </c>
      <c r="B20" s="10"/>
      <c r="C20" s="10"/>
      <c r="D20" s="10"/>
      <c r="E20" s="10"/>
      <c r="F20" s="10"/>
      <c r="G20" s="10"/>
      <c r="H20" s="10"/>
      <c r="I20" s="1"/>
      <c r="J20" s="1"/>
      <c r="K20" s="1"/>
    </row>
    <row r="21" spans="1:11" ht="24" customHeight="1">
      <c r="A21" s="4" t="s">
        <v>428</v>
      </c>
      <c r="B21" s="1"/>
      <c r="C21" s="1"/>
      <c r="D21" s="1"/>
      <c r="E21" s="1"/>
      <c r="F21" s="1"/>
      <c r="G21" s="1"/>
      <c r="H21" s="1"/>
      <c r="I21" s="1"/>
      <c r="J21" s="1"/>
      <c r="K21" s="1"/>
    </row>
    <row r="22" spans="1:11" ht="24" customHeight="1">
      <c r="A22" s="4" t="s">
        <v>429</v>
      </c>
      <c r="B22" s="1"/>
      <c r="C22" s="1"/>
      <c r="D22" s="1"/>
      <c r="E22" s="1"/>
      <c r="F22" s="1"/>
      <c r="G22" s="1"/>
      <c r="H22" s="1"/>
      <c r="I22" s="1"/>
      <c r="J22" s="1"/>
      <c r="K22" s="1"/>
    </row>
    <row r="23" spans="1:11" ht="57.95" customHeight="1">
      <c r="A23" s="12" t="s">
        <v>358</v>
      </c>
      <c r="B23" s="12" t="s">
        <v>430</v>
      </c>
      <c r="C23" s="12" t="s">
        <v>431</v>
      </c>
      <c r="D23" s="12" t="s">
        <v>432</v>
      </c>
      <c r="E23" s="12" t="s">
        <v>433</v>
      </c>
      <c r="F23" s="12" t="s">
        <v>434</v>
      </c>
      <c r="G23" s="12" t="s">
        <v>435</v>
      </c>
      <c r="H23" s="12" t="s">
        <v>436</v>
      </c>
      <c r="I23" s="1"/>
      <c r="J23" s="1"/>
      <c r="K23" s="1"/>
    </row>
    <row r="24" spans="1:11" ht="68.099999999999994" customHeight="1">
      <c r="A24" s="14">
        <v>46303</v>
      </c>
      <c r="B24" s="13" t="s">
        <v>437</v>
      </c>
      <c r="C24" s="13" t="s">
        <v>438</v>
      </c>
      <c r="D24" s="13" t="s">
        <v>346</v>
      </c>
      <c r="E24" s="14">
        <v>46284</v>
      </c>
      <c r="F24" s="14">
        <v>46285</v>
      </c>
      <c r="G24" s="13">
        <v>0</v>
      </c>
      <c r="H24" s="13" t="s">
        <v>439</v>
      </c>
      <c r="I24" s="1"/>
      <c r="J24" s="1"/>
      <c r="K24" s="1"/>
    </row>
    <row r="25" spans="1:11" ht="68.099999999999994" customHeight="1">
      <c r="A25" s="14">
        <v>46303</v>
      </c>
      <c r="B25" s="13" t="s">
        <v>440</v>
      </c>
      <c r="C25" s="13" t="s">
        <v>438</v>
      </c>
      <c r="D25" s="13" t="s">
        <v>351</v>
      </c>
      <c r="E25" s="14">
        <v>46287</v>
      </c>
      <c r="F25" s="14">
        <v>46287</v>
      </c>
      <c r="G25" s="13">
        <v>0</v>
      </c>
      <c r="H25" s="13" t="s">
        <v>441</v>
      </c>
      <c r="I25" s="1"/>
      <c r="J25" s="1"/>
      <c r="K25" s="1"/>
    </row>
    <row r="26" spans="1:11" ht="29.1" customHeight="1">
      <c r="A26" s="15"/>
      <c r="B26" s="9"/>
      <c r="C26" s="9"/>
      <c r="D26" s="9"/>
      <c r="E26" s="15"/>
      <c r="F26" s="15"/>
      <c r="G26" s="9"/>
      <c r="H26" s="9"/>
      <c r="I26" s="1"/>
      <c r="J26" s="1"/>
      <c r="K26" s="1"/>
    </row>
    <row r="27" spans="1:11" ht="29.1" customHeight="1">
      <c r="A27" s="15"/>
      <c r="B27" s="9"/>
      <c r="C27" s="9"/>
      <c r="D27" s="9"/>
      <c r="E27" s="15"/>
      <c r="F27" s="15"/>
      <c r="G27" s="9"/>
      <c r="H27" s="9"/>
      <c r="I27" s="1"/>
      <c r="J27" s="1"/>
      <c r="K27" s="1"/>
    </row>
    <row r="28" spans="1:11" ht="29.1" customHeight="1">
      <c r="A28" s="15"/>
      <c r="B28" s="9"/>
      <c r="C28" s="9"/>
      <c r="D28" s="9"/>
      <c r="E28" s="15"/>
      <c r="F28" s="15"/>
      <c r="G28" s="9"/>
      <c r="H28" s="9"/>
      <c r="I28" s="1"/>
      <c r="J28" s="1"/>
      <c r="K28" s="1"/>
    </row>
    <row r="29" spans="1:11" ht="29.1" customHeight="1">
      <c r="A29" s="15"/>
      <c r="B29" s="9"/>
      <c r="C29" s="9"/>
      <c r="D29" s="9"/>
      <c r="E29" s="15"/>
      <c r="F29" s="15"/>
      <c r="G29" s="9"/>
      <c r="H29" s="9"/>
      <c r="I29" s="1"/>
      <c r="J29" s="1"/>
      <c r="K29" s="1"/>
    </row>
    <row r="30" spans="1:11" ht="24" customHeight="1">
      <c r="A30" s="1"/>
      <c r="B30" s="1"/>
      <c r="C30" s="1"/>
      <c r="D30" s="1"/>
      <c r="E30" s="1"/>
      <c r="F30" s="1"/>
      <c r="G30" s="1"/>
      <c r="H30" s="1"/>
      <c r="I30" s="1"/>
      <c r="J30" s="1"/>
      <c r="K30" s="1"/>
    </row>
    <row r="31" spans="1:11" ht="24" customHeight="1">
      <c r="A31" s="1"/>
      <c r="B31" s="1"/>
      <c r="C31" s="1"/>
      <c r="D31" s="1"/>
      <c r="E31" s="1"/>
      <c r="F31" s="1"/>
      <c r="G31" s="1"/>
      <c r="H31" s="1"/>
      <c r="I31" s="1"/>
      <c r="J31" s="1"/>
      <c r="K31" s="1"/>
    </row>
    <row r="32" spans="1:11" ht="24" customHeight="1">
      <c r="A32" s="1"/>
      <c r="B32" s="1"/>
      <c r="C32" s="1"/>
      <c r="D32" s="1"/>
      <c r="E32" s="1"/>
      <c r="F32" s="1"/>
      <c r="G32" s="1"/>
      <c r="H32" s="1"/>
      <c r="I32" s="1"/>
      <c r="J32" s="1"/>
      <c r="K32" s="1"/>
    </row>
    <row r="33" spans="1:11" ht="24" customHeight="1">
      <c r="A33" s="4" t="s">
        <v>442</v>
      </c>
      <c r="B33" s="1"/>
      <c r="C33" s="1"/>
      <c r="D33" s="1"/>
      <c r="E33" s="1"/>
      <c r="F33" s="1"/>
      <c r="G33" s="1"/>
      <c r="H33" s="1"/>
      <c r="I33" s="1"/>
      <c r="J33" s="1"/>
      <c r="K33" s="1"/>
    </row>
    <row r="34" spans="1:11" ht="24" customHeight="1">
      <c r="A34" s="4" t="s">
        <v>443</v>
      </c>
      <c r="B34" s="1"/>
      <c r="C34" s="1"/>
      <c r="D34" s="1"/>
      <c r="E34" s="1"/>
      <c r="F34" s="1"/>
      <c r="G34" s="1"/>
      <c r="H34" s="1"/>
      <c r="I34" s="1"/>
      <c r="J34" s="1"/>
      <c r="K34" s="1"/>
    </row>
    <row r="35" spans="1:11" ht="24" customHeight="1">
      <c r="A35" s="1"/>
      <c r="B35" s="1"/>
      <c r="C35" s="1"/>
      <c r="D35" s="1"/>
      <c r="E35" s="1"/>
      <c r="F35" s="1"/>
      <c r="G35" s="1"/>
      <c r="H35" s="1"/>
      <c r="I35" s="1"/>
      <c r="J35" s="1"/>
      <c r="K35" s="1"/>
    </row>
    <row r="36" spans="1:11" ht="24" customHeight="1">
      <c r="A36" s="1"/>
      <c r="B36" s="1"/>
      <c r="C36" s="1"/>
      <c r="D36" s="1"/>
      <c r="E36" s="1"/>
      <c r="F36" s="1"/>
      <c r="G36" s="1"/>
      <c r="H36" s="1"/>
      <c r="I36" s="1"/>
      <c r="J36" s="1"/>
      <c r="K36" s="1"/>
    </row>
    <row r="37" spans="1:11" ht="24" customHeight="1">
      <c r="A37" s="1"/>
      <c r="B37" s="1"/>
      <c r="C37" s="1"/>
      <c r="D37" s="1"/>
      <c r="E37" s="1"/>
      <c r="F37" s="1"/>
      <c r="G37" s="1"/>
      <c r="H37" s="1"/>
      <c r="I37" s="1"/>
      <c r="J37" s="1"/>
      <c r="K37" s="1"/>
    </row>
    <row r="38" spans="1:11" ht="24" customHeight="1">
      <c r="A38" s="1"/>
      <c r="B38" s="1"/>
      <c r="C38" s="1"/>
      <c r="D38" s="1"/>
      <c r="E38" s="1"/>
      <c r="F38" s="1"/>
      <c r="G38" s="1"/>
      <c r="H38" s="1"/>
      <c r="I38" s="1"/>
      <c r="J38" s="1"/>
      <c r="K38" s="1"/>
    </row>
    <row r="39" spans="1:11" ht="24" customHeight="1">
      <c r="A39" s="1"/>
      <c r="B39" s="1"/>
      <c r="C39" s="1"/>
      <c r="D39" s="1"/>
      <c r="E39" s="1"/>
      <c r="F39" s="1"/>
      <c r="G39" s="1"/>
      <c r="H39" s="1"/>
      <c r="I39" s="1"/>
      <c r="J39" s="1"/>
      <c r="K39" s="1"/>
    </row>
    <row r="40" spans="1:11" ht="24" customHeight="1">
      <c r="A40" s="1"/>
      <c r="B40" s="1"/>
      <c r="C40" s="1"/>
      <c r="D40" s="1"/>
      <c r="E40" s="1"/>
      <c r="F40" s="1"/>
      <c r="G40" s="1"/>
      <c r="H40" s="1"/>
      <c r="I40" s="1"/>
      <c r="J40" s="1"/>
      <c r="K40" s="1"/>
    </row>
    <row r="41" spans="1:11" ht="24" customHeight="1">
      <c r="A41" s="1"/>
      <c r="B41" s="1"/>
      <c r="C41" s="1"/>
      <c r="D41" s="1"/>
      <c r="E41" s="1"/>
      <c r="F41" s="1"/>
      <c r="G41" s="1"/>
      <c r="H41" s="1"/>
      <c r="I41" s="1"/>
      <c r="J41" s="1"/>
      <c r="K41" s="1"/>
    </row>
    <row r="42" spans="1:11" ht="24" customHeight="1">
      <c r="A42" s="1"/>
      <c r="B42" s="1"/>
      <c r="C42" s="1"/>
      <c r="D42" s="1"/>
      <c r="E42" s="1"/>
      <c r="F42" s="1"/>
      <c r="G42" s="1"/>
      <c r="H42" s="1"/>
      <c r="I42" s="1"/>
      <c r="J42" s="1"/>
      <c r="K42" s="1"/>
    </row>
    <row r="43" spans="1:11" ht="24" customHeight="1">
      <c r="A43" s="1"/>
      <c r="B43" s="1"/>
      <c r="C43" s="1"/>
      <c r="D43" s="1"/>
      <c r="E43" s="1"/>
      <c r="F43" s="1"/>
      <c r="G43" s="1"/>
      <c r="H43" s="1"/>
      <c r="I43" s="1"/>
      <c r="J43" s="1"/>
      <c r="K43" s="1"/>
    </row>
    <row r="44" spans="1:11" ht="24" customHeight="1">
      <c r="A44" s="1"/>
      <c r="B44" s="1"/>
      <c r="C44" s="1"/>
      <c r="D44" s="1"/>
      <c r="E44" s="1"/>
      <c r="F44" s="1"/>
      <c r="G44" s="1"/>
      <c r="H44" s="1"/>
      <c r="I44" s="1"/>
      <c r="J44" s="1"/>
      <c r="K44" s="1"/>
    </row>
    <row r="45" spans="1:11" ht="24" customHeight="1">
      <c r="A45" s="1"/>
      <c r="B45" s="1"/>
      <c r="C45" s="1"/>
      <c r="D45" s="1"/>
      <c r="E45" s="1"/>
      <c r="F45" s="1"/>
      <c r="G45" s="1"/>
      <c r="H45" s="1"/>
      <c r="I45" s="1"/>
      <c r="J45" s="1"/>
      <c r="K45" s="1"/>
    </row>
    <row r="46" spans="1:11" ht="24" customHeight="1">
      <c r="A46" s="1"/>
      <c r="B46" s="1"/>
      <c r="C46" s="1"/>
      <c r="D46" s="1"/>
      <c r="E46" s="1"/>
      <c r="F46" s="1"/>
      <c r="G46" s="1"/>
      <c r="H46" s="1"/>
      <c r="I46" s="1"/>
      <c r="J46" s="1"/>
      <c r="K46" s="1"/>
    </row>
    <row r="47" spans="1:11" ht="24" customHeight="1">
      <c r="A47" s="1"/>
      <c r="B47" s="1"/>
      <c r="C47" s="1"/>
      <c r="D47" s="1"/>
      <c r="E47" s="1"/>
      <c r="F47" s="1"/>
      <c r="G47" s="1"/>
      <c r="H47" s="1"/>
      <c r="I47" s="1"/>
      <c r="J47" s="1"/>
      <c r="K47" s="1"/>
    </row>
    <row r="48" spans="1:11" ht="24" customHeight="1">
      <c r="A48" s="1"/>
      <c r="B48" s="1"/>
      <c r="C48" s="1"/>
      <c r="D48" s="1"/>
      <c r="E48" s="1"/>
      <c r="F48" s="1"/>
      <c r="G48" s="1"/>
      <c r="H48" s="1"/>
      <c r="I48" s="1"/>
      <c r="J48" s="1"/>
      <c r="K48" s="1"/>
    </row>
    <row r="49" spans="1:11" ht="24" customHeight="1">
      <c r="A49" s="1"/>
      <c r="B49" s="1"/>
      <c r="C49" s="1"/>
      <c r="D49" s="1"/>
      <c r="E49" s="1"/>
      <c r="F49" s="1"/>
      <c r="G49" s="1"/>
      <c r="H49" s="1"/>
      <c r="I49" s="1"/>
      <c r="J49" s="1"/>
      <c r="K49" s="1"/>
    </row>
    <row r="50" spans="1:11" ht="24" customHeight="1">
      <c r="A50" s="1"/>
      <c r="B50" s="1"/>
      <c r="C50" s="1"/>
      <c r="D50" s="1"/>
      <c r="E50" s="1"/>
      <c r="F50" s="1"/>
      <c r="G50" s="1"/>
      <c r="H50" s="1"/>
      <c r="I50" s="1"/>
      <c r="J50" s="1"/>
      <c r="K50" s="1"/>
    </row>
    <row r="51" spans="1:11" ht="24" customHeight="1">
      <c r="A51" s="1"/>
      <c r="B51" s="1"/>
      <c r="C51" s="1"/>
      <c r="D51" s="1"/>
      <c r="E51" s="1"/>
      <c r="F51" s="1"/>
      <c r="G51" s="1"/>
      <c r="H51" s="1"/>
      <c r="I51" s="1"/>
      <c r="J51" s="1"/>
      <c r="K51" s="1"/>
    </row>
    <row r="52" spans="1:11" ht="24" customHeight="1">
      <c r="A52" s="1"/>
      <c r="B52" s="1"/>
      <c r="C52" s="1"/>
      <c r="D52" s="1"/>
      <c r="E52" s="1"/>
      <c r="F52" s="1"/>
      <c r="G52" s="1"/>
      <c r="H52" s="1"/>
      <c r="I52" s="1"/>
      <c r="J52" s="1"/>
      <c r="K52" s="1"/>
    </row>
    <row r="53" spans="1:11" ht="24" customHeight="1">
      <c r="A53" s="1"/>
      <c r="B53" s="1"/>
      <c r="C53" s="1"/>
      <c r="D53" s="1"/>
      <c r="E53" s="1"/>
      <c r="F53" s="1"/>
      <c r="G53" s="1"/>
      <c r="H53" s="1"/>
      <c r="I53" s="1"/>
      <c r="J53" s="1"/>
      <c r="K53" s="1"/>
    </row>
    <row r="54" spans="1:11" ht="24" customHeight="1">
      <c r="A54" s="1"/>
      <c r="B54" s="1"/>
      <c r="C54" s="1"/>
      <c r="D54" s="1"/>
      <c r="E54" s="1"/>
      <c r="F54" s="1"/>
      <c r="G54" s="1"/>
      <c r="H54" s="1"/>
      <c r="I54" s="1"/>
      <c r="J54" s="1"/>
      <c r="K54" s="1"/>
    </row>
    <row r="55" spans="1:11" ht="24" customHeight="1">
      <c r="A55" s="1"/>
      <c r="B55" s="1"/>
      <c r="C55" s="1"/>
      <c r="D55" s="1"/>
      <c r="E55" s="1"/>
      <c r="F55" s="1"/>
      <c r="G55" s="1"/>
      <c r="H55" s="1"/>
      <c r="I55" s="1"/>
      <c r="J55" s="1"/>
      <c r="K55" s="1"/>
    </row>
    <row r="56" spans="1:11" ht="24" customHeight="1">
      <c r="A56" s="1"/>
      <c r="B56" s="1"/>
      <c r="C56" s="1"/>
      <c r="D56" s="1"/>
      <c r="E56" s="1"/>
      <c r="F56" s="1"/>
      <c r="G56" s="1"/>
      <c r="H56" s="1"/>
      <c r="I56" s="1"/>
      <c r="J56" s="1"/>
      <c r="K56" s="1"/>
    </row>
    <row r="57" spans="1:11" ht="24" customHeight="1">
      <c r="A57" s="1"/>
      <c r="B57" s="1"/>
      <c r="C57" s="1"/>
      <c r="D57" s="1"/>
      <c r="E57" s="1"/>
      <c r="F57" s="1"/>
      <c r="G57" s="1"/>
      <c r="H57" s="1"/>
      <c r="I57" s="1"/>
      <c r="J57" s="1"/>
      <c r="K57" s="1"/>
    </row>
    <row r="58" spans="1:11" ht="24" customHeight="1">
      <c r="A58" s="1"/>
      <c r="B58" s="1"/>
      <c r="C58" s="1"/>
      <c r="D58" s="1"/>
      <c r="E58" s="1"/>
      <c r="F58" s="1"/>
      <c r="G58" s="1"/>
      <c r="H58" s="1"/>
      <c r="I58" s="1"/>
      <c r="J58" s="1"/>
      <c r="K58" s="1"/>
    </row>
    <row r="59" spans="1:11" ht="24" customHeight="1">
      <c r="A59" s="1"/>
      <c r="B59" s="1"/>
      <c r="C59" s="1"/>
      <c r="D59" s="1"/>
      <c r="E59" s="1"/>
      <c r="F59" s="1"/>
      <c r="G59" s="1"/>
      <c r="H59" s="1"/>
      <c r="I59" s="1"/>
      <c r="J59" s="1"/>
      <c r="K59" s="1"/>
    </row>
    <row r="60" spans="1:11" ht="24" customHeight="1">
      <c r="A60" s="1"/>
      <c r="B60" s="1"/>
      <c r="C60" s="1"/>
      <c r="D60" s="1"/>
      <c r="E60" s="1"/>
      <c r="F60" s="1"/>
      <c r="G60" s="1"/>
      <c r="H60" s="1"/>
      <c r="I60" s="1"/>
      <c r="J60" s="1"/>
      <c r="K60" s="1"/>
    </row>
  </sheetData>
  <dataValidations count="5">
    <dataValidation type="list" sqref="B11:B16" xr:uid="{00000000-0002-0000-0600-000000000000}">
      <formula1>"Quotation,Tender"</formula1>
    </dataValidation>
    <dataValidation type="list" sqref="D11:D16" xr:uid="{00000000-0002-0000-0600-000001000000}">
      <formula1>"Equipment,Devices,Consumables,Mixed"</formula1>
    </dataValidation>
    <dataValidation type="list" sqref="F11:F16" xr:uid="{00000000-0002-0000-0600-000002000000}">
      <formula1>"Preparing,Submitted,Negotiation,Won,Delivered,Lost,Cancelled,On hold"</formula1>
    </dataValidation>
    <dataValidation type="decimal" operator="greaterThanOrEqual" sqref="G24:G29 G11:H16" xr:uid="{00000000-0002-0000-0600-000003000000}">
      <formula1>0</formula1>
    </dataValidation>
    <dataValidation type="list" sqref="C24:C29" xr:uid="{00000000-0002-0000-0600-000005000000}">
      <formula1>"Inbound,Outbound"</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35E50"/>
  </sheetPr>
  <dimension ref="A1:K150"/>
  <sheetViews>
    <sheetView showGridLines="0" workbookViewId="0">
      <pane ySplit="6" topLeftCell="A7" activePane="bottomLeft" state="frozen"/>
      <selection pane="bottomLeft"/>
    </sheetView>
  </sheetViews>
  <sheetFormatPr defaultRowHeight="14.25"/>
  <cols>
    <col min="1" max="1" width="24" customWidth="1"/>
    <col min="2" max="2" width="25" customWidth="1"/>
    <col min="3" max="3" width="28" customWidth="1"/>
    <col min="4" max="4" width="24" customWidth="1"/>
    <col min="5" max="5" width="23" customWidth="1"/>
    <col min="6" max="6" width="24" customWidth="1"/>
    <col min="7" max="7" width="25" customWidth="1"/>
    <col min="8" max="8" width="35" customWidth="1"/>
    <col min="9" max="9" width="25" customWidth="1"/>
    <col min="10" max="10" width="26" customWidth="1"/>
    <col min="11" max="11" width="24" customWidth="1"/>
  </cols>
  <sheetData>
    <row r="1" spans="1:11" ht="24" customHeight="1">
      <c r="A1" s="1"/>
      <c r="B1" s="1"/>
      <c r="C1" s="1"/>
      <c r="D1" s="1"/>
      <c r="E1" s="1"/>
      <c r="F1" s="1"/>
      <c r="G1" s="1"/>
      <c r="H1" s="1"/>
      <c r="I1" s="1"/>
      <c r="J1" s="1"/>
      <c r="K1" s="1"/>
    </row>
    <row r="2" spans="1:11" ht="33" customHeight="1">
      <c r="A2" s="2" t="s">
        <v>444</v>
      </c>
      <c r="B2" s="1"/>
      <c r="C2" s="1"/>
      <c r="D2" s="1"/>
      <c r="E2" s="1"/>
      <c r="F2" s="1"/>
      <c r="G2" s="1"/>
      <c r="H2" s="1"/>
      <c r="I2" s="1"/>
      <c r="J2" s="1"/>
      <c r="K2" s="1"/>
    </row>
    <row r="3" spans="1:11" ht="24" customHeight="1">
      <c r="A3" s="1"/>
      <c r="B3" s="1"/>
      <c r="C3" s="1"/>
      <c r="D3" s="1"/>
      <c r="E3" s="1"/>
      <c r="F3" s="1"/>
      <c r="G3" s="1"/>
      <c r="H3" s="1"/>
      <c r="I3" s="1"/>
      <c r="J3" s="1"/>
      <c r="K3" s="1"/>
    </row>
    <row r="4" spans="1:11" ht="24" customHeight="1">
      <c r="A4" s="3" t="s">
        <v>445</v>
      </c>
      <c r="B4" s="1"/>
      <c r="C4" s="1"/>
      <c r="D4" s="1"/>
      <c r="E4" s="1"/>
      <c r="F4" s="1"/>
      <c r="G4" s="1"/>
      <c r="H4" s="1"/>
      <c r="I4" s="1"/>
      <c r="J4" s="1"/>
      <c r="K4" s="1"/>
    </row>
    <row r="5" spans="1:11" ht="24" customHeight="1">
      <c r="A5" s="4" t="s">
        <v>446</v>
      </c>
      <c r="B5" s="1"/>
      <c r="C5" s="1"/>
      <c r="D5" s="1"/>
      <c r="E5" s="1"/>
      <c r="F5" s="1"/>
      <c r="G5" s="1"/>
      <c r="H5" s="1"/>
      <c r="I5" s="1"/>
      <c r="J5" s="1"/>
      <c r="K5" s="1"/>
    </row>
    <row r="6" spans="1:11" ht="24" customHeight="1">
      <c r="A6" s="1"/>
      <c r="B6" s="1"/>
      <c r="C6" s="1"/>
      <c r="D6" s="1"/>
      <c r="E6" s="1"/>
      <c r="F6" s="1"/>
      <c r="G6" s="1"/>
      <c r="H6" s="1"/>
      <c r="I6" s="1"/>
      <c r="J6" s="1"/>
      <c r="K6" s="1"/>
    </row>
    <row r="7" spans="1:11" ht="30" customHeight="1">
      <c r="A7" s="11" t="s">
        <v>447</v>
      </c>
      <c r="B7" s="10"/>
      <c r="C7" s="10"/>
      <c r="D7" s="10"/>
      <c r="E7" s="10"/>
      <c r="F7" s="10"/>
      <c r="G7" s="10"/>
      <c r="H7" s="10"/>
      <c r="I7" s="10"/>
      <c r="J7" s="10"/>
      <c r="K7" s="10"/>
    </row>
    <row r="8" spans="1:11" ht="24" customHeight="1">
      <c r="A8" s="4" t="s">
        <v>448</v>
      </c>
      <c r="B8" s="1"/>
      <c r="C8" s="1"/>
      <c r="D8" s="1"/>
      <c r="E8" s="1"/>
      <c r="F8" s="1"/>
      <c r="G8" s="1"/>
      <c r="H8" s="1"/>
      <c r="I8" s="1"/>
      <c r="J8" s="1"/>
      <c r="K8" s="1"/>
    </row>
    <row r="9" spans="1:11" ht="24" customHeight="1">
      <c r="A9" s="4" t="s">
        <v>449</v>
      </c>
      <c r="B9" s="1"/>
      <c r="C9" s="1"/>
      <c r="D9" s="1"/>
      <c r="E9" s="1"/>
      <c r="F9" s="1"/>
      <c r="G9" s="1"/>
      <c r="H9" s="1"/>
      <c r="I9" s="1"/>
      <c r="J9" s="1"/>
      <c r="K9" s="1"/>
    </row>
    <row r="10" spans="1:11" ht="57.95" customHeight="1">
      <c r="A10" s="12" t="s">
        <v>450</v>
      </c>
      <c r="B10" s="12" t="s">
        <v>411</v>
      </c>
      <c r="C10" s="12" t="s">
        <v>451</v>
      </c>
      <c r="D10" s="12" t="s">
        <v>452</v>
      </c>
      <c r="E10" s="12" t="s">
        <v>453</v>
      </c>
      <c r="F10" s="12" t="s">
        <v>454</v>
      </c>
      <c r="G10" s="12" t="s">
        <v>455</v>
      </c>
      <c r="H10" s="12" t="s">
        <v>456</v>
      </c>
      <c r="I10" s="12" t="s">
        <v>457</v>
      </c>
      <c r="J10" s="12" t="s">
        <v>458</v>
      </c>
      <c r="K10" s="12" t="s">
        <v>459</v>
      </c>
    </row>
    <row r="11" spans="1:11" ht="68.099999999999994" customHeight="1">
      <c r="A11" s="13" t="s">
        <v>460</v>
      </c>
      <c r="B11" s="13" t="s">
        <v>346</v>
      </c>
      <c r="C11" s="13" t="s">
        <v>461</v>
      </c>
      <c r="D11" s="14">
        <v>45809</v>
      </c>
      <c r="E11" s="13" t="s">
        <v>462</v>
      </c>
      <c r="F11" s="13" t="s">
        <v>463</v>
      </c>
      <c r="G11" s="14">
        <v>46173</v>
      </c>
      <c r="H11" s="13" t="s">
        <v>464</v>
      </c>
      <c r="I11" s="14">
        <v>46174</v>
      </c>
      <c r="J11" s="14">
        <v>46538</v>
      </c>
      <c r="K11" s="13" t="s">
        <v>465</v>
      </c>
    </row>
    <row r="12" spans="1:11" ht="68.099999999999994" customHeight="1">
      <c r="A12" s="13" t="s">
        <v>466</v>
      </c>
      <c r="B12" s="13" t="s">
        <v>351</v>
      </c>
      <c r="C12" s="13" t="s">
        <v>467</v>
      </c>
      <c r="D12" s="14">
        <v>44089</v>
      </c>
      <c r="E12" s="13" t="s">
        <v>462</v>
      </c>
      <c r="F12" s="13" t="s">
        <v>463</v>
      </c>
      <c r="G12" s="14">
        <v>45914</v>
      </c>
      <c r="H12" s="13" t="s">
        <v>273</v>
      </c>
      <c r="I12" s="14"/>
      <c r="J12" s="14"/>
      <c r="K12" s="13"/>
    </row>
    <row r="13" spans="1:11" ht="29.1" customHeight="1">
      <c r="A13" s="9"/>
      <c r="B13" s="9"/>
      <c r="C13" s="9"/>
      <c r="D13" s="15"/>
      <c r="E13" s="9"/>
      <c r="F13" s="9"/>
      <c r="G13" s="15"/>
      <c r="H13" s="9"/>
      <c r="I13" s="19"/>
      <c r="J13" s="19"/>
      <c r="K13" s="20"/>
    </row>
    <row r="14" spans="1:11" ht="29.1" customHeight="1">
      <c r="A14" s="9"/>
      <c r="B14" s="9"/>
      <c r="C14" s="9"/>
      <c r="D14" s="15"/>
      <c r="E14" s="9"/>
      <c r="F14" s="9"/>
      <c r="G14" s="15"/>
      <c r="H14" s="9"/>
      <c r="I14" s="19"/>
      <c r="J14" s="19"/>
      <c r="K14" s="20"/>
    </row>
    <row r="15" spans="1:11" ht="29.1" customHeight="1">
      <c r="A15" s="9"/>
      <c r="B15" s="9"/>
      <c r="C15" s="9"/>
      <c r="D15" s="15"/>
      <c r="E15" s="9"/>
      <c r="F15" s="9"/>
      <c r="G15" s="15"/>
      <c r="H15" s="9"/>
      <c r="I15" s="19"/>
      <c r="J15" s="19"/>
      <c r="K15" s="20"/>
    </row>
    <row r="16" spans="1:11" ht="29.1" customHeight="1">
      <c r="A16" s="9"/>
      <c r="B16" s="9"/>
      <c r="C16" s="9"/>
      <c r="D16" s="15"/>
      <c r="E16" s="9"/>
      <c r="F16" s="9"/>
      <c r="G16" s="15"/>
      <c r="H16" s="9"/>
      <c r="I16" s="19"/>
      <c r="J16" s="19"/>
      <c r="K16" s="20"/>
    </row>
    <row r="17" spans="1:11" ht="24" customHeight="1">
      <c r="A17" s="1"/>
      <c r="B17" s="1"/>
      <c r="C17" s="1"/>
      <c r="D17" s="1"/>
      <c r="E17" s="1"/>
      <c r="F17" s="1"/>
      <c r="G17" s="1"/>
      <c r="H17" s="1"/>
      <c r="I17" s="1"/>
      <c r="J17" s="1"/>
      <c r="K17" s="1"/>
    </row>
    <row r="18" spans="1:11" ht="24" customHeight="1">
      <c r="A18" s="1"/>
      <c r="B18" s="1"/>
      <c r="C18" s="1"/>
      <c r="D18" s="1"/>
      <c r="E18" s="1"/>
      <c r="F18" s="1"/>
      <c r="G18" s="1"/>
      <c r="H18" s="1"/>
      <c r="I18" s="1"/>
      <c r="J18" s="1"/>
      <c r="K18" s="1"/>
    </row>
    <row r="19" spans="1:11" ht="24" customHeight="1">
      <c r="A19" s="1"/>
      <c r="B19" s="1"/>
      <c r="C19" s="1"/>
      <c r="D19" s="1"/>
      <c r="E19" s="1"/>
      <c r="F19" s="1"/>
      <c r="G19" s="1"/>
      <c r="H19" s="1"/>
      <c r="I19" s="1"/>
      <c r="J19" s="1"/>
      <c r="K19" s="1"/>
    </row>
    <row r="20" spans="1:11" ht="30" customHeight="1">
      <c r="A20" s="11" t="s">
        <v>468</v>
      </c>
      <c r="B20" s="10"/>
      <c r="C20" s="10"/>
      <c r="D20" s="10"/>
      <c r="E20" s="10"/>
      <c r="F20" s="10"/>
      <c r="G20" s="10"/>
      <c r="H20" s="1"/>
      <c r="I20" s="1"/>
      <c r="J20" s="1"/>
      <c r="K20" s="1"/>
    </row>
    <row r="21" spans="1:11" ht="24" customHeight="1">
      <c r="A21" s="4" t="s">
        <v>469</v>
      </c>
      <c r="B21" s="1"/>
      <c r="C21" s="1"/>
      <c r="D21" s="1"/>
      <c r="E21" s="1"/>
      <c r="F21" s="1"/>
      <c r="G21" s="1"/>
      <c r="H21" s="1"/>
      <c r="I21" s="1"/>
      <c r="J21" s="1"/>
      <c r="K21" s="1"/>
    </row>
    <row r="22" spans="1:11" ht="24" customHeight="1">
      <c r="A22" s="4" t="s">
        <v>470</v>
      </c>
      <c r="B22" s="1"/>
      <c r="C22" s="1"/>
      <c r="D22" s="1"/>
      <c r="E22" s="1"/>
      <c r="F22" s="1"/>
      <c r="G22" s="1"/>
      <c r="H22" s="1"/>
      <c r="I22" s="1"/>
      <c r="J22" s="1"/>
      <c r="K22" s="1"/>
    </row>
    <row r="23" spans="1:11" ht="57.95" customHeight="1">
      <c r="A23" s="12" t="s">
        <v>451</v>
      </c>
      <c r="B23" s="12" t="s">
        <v>471</v>
      </c>
      <c r="C23" s="12" t="s">
        <v>472</v>
      </c>
      <c r="D23" s="12" t="s">
        <v>473</v>
      </c>
      <c r="E23" s="12" t="s">
        <v>474</v>
      </c>
      <c r="F23" s="12" t="s">
        <v>475</v>
      </c>
      <c r="G23" s="12" t="s">
        <v>476</v>
      </c>
      <c r="H23" s="1"/>
      <c r="I23" s="1"/>
      <c r="J23" s="1"/>
      <c r="K23" s="1"/>
    </row>
    <row r="24" spans="1:11" ht="68.099999999999994" customHeight="1">
      <c r="A24" s="13" t="s">
        <v>461</v>
      </c>
      <c r="B24" s="13" t="s">
        <v>366</v>
      </c>
      <c r="C24" s="13" t="s">
        <v>477</v>
      </c>
      <c r="D24" s="13">
        <v>1</v>
      </c>
      <c r="E24" s="13" t="s">
        <v>369</v>
      </c>
      <c r="F24" s="13" t="s">
        <v>478</v>
      </c>
      <c r="G24" s="14">
        <v>46295</v>
      </c>
      <c r="H24" s="1"/>
      <c r="I24" s="1"/>
      <c r="J24" s="1"/>
      <c r="K24" s="1"/>
    </row>
    <row r="25" spans="1:11" ht="68.099999999999994" customHeight="1">
      <c r="A25" s="13" t="s">
        <v>467</v>
      </c>
      <c r="B25" s="13" t="s">
        <v>371</v>
      </c>
      <c r="C25" s="13" t="s">
        <v>479</v>
      </c>
      <c r="D25" s="13">
        <v>1</v>
      </c>
      <c r="E25" s="13" t="s">
        <v>369</v>
      </c>
      <c r="F25" s="13" t="s">
        <v>478</v>
      </c>
      <c r="G25" s="14">
        <v>46295</v>
      </c>
      <c r="H25" s="1"/>
      <c r="I25" s="1"/>
      <c r="J25" s="1"/>
      <c r="K25" s="1"/>
    </row>
    <row r="26" spans="1:11" ht="29.1" customHeight="1">
      <c r="A26" s="9"/>
      <c r="B26" s="9"/>
      <c r="C26" s="9"/>
      <c r="D26" s="9"/>
      <c r="E26" s="9"/>
      <c r="F26" s="9"/>
      <c r="G26" s="15"/>
      <c r="H26" s="1"/>
      <c r="I26" s="1"/>
      <c r="J26" s="1"/>
      <c r="K26" s="1"/>
    </row>
    <row r="27" spans="1:11" ht="29.1" customHeight="1">
      <c r="A27" s="9"/>
      <c r="B27" s="9"/>
      <c r="C27" s="9"/>
      <c r="D27" s="9"/>
      <c r="E27" s="9"/>
      <c r="F27" s="9"/>
      <c r="G27" s="15"/>
      <c r="H27" s="1"/>
      <c r="I27" s="1"/>
      <c r="J27" s="1"/>
      <c r="K27" s="1"/>
    </row>
    <row r="28" spans="1:11" ht="29.1" customHeight="1">
      <c r="A28" s="9"/>
      <c r="B28" s="9"/>
      <c r="C28" s="9"/>
      <c r="D28" s="9"/>
      <c r="E28" s="9"/>
      <c r="F28" s="9"/>
      <c r="G28" s="15"/>
      <c r="H28" s="1"/>
      <c r="I28" s="1"/>
      <c r="J28" s="1"/>
      <c r="K28" s="1"/>
    </row>
    <row r="29" spans="1:11" ht="29.1" customHeight="1">
      <c r="A29" s="9"/>
      <c r="B29" s="9"/>
      <c r="C29" s="9"/>
      <c r="D29" s="9"/>
      <c r="E29" s="9"/>
      <c r="F29" s="9"/>
      <c r="G29" s="15"/>
      <c r="H29" s="1"/>
      <c r="I29" s="1"/>
      <c r="J29" s="1"/>
      <c r="K29" s="1"/>
    </row>
    <row r="30" spans="1:11" ht="24" customHeight="1">
      <c r="A30" s="1"/>
      <c r="B30" s="1"/>
      <c r="C30" s="1"/>
      <c r="D30" s="1"/>
      <c r="E30" s="1"/>
      <c r="F30" s="1"/>
      <c r="G30" s="1"/>
      <c r="H30" s="1"/>
      <c r="I30" s="1"/>
      <c r="J30" s="1"/>
      <c r="K30" s="1"/>
    </row>
    <row r="31" spans="1:11" ht="24" customHeight="1">
      <c r="A31" s="1"/>
      <c r="B31" s="1"/>
      <c r="C31" s="1"/>
      <c r="D31" s="1"/>
      <c r="E31" s="1"/>
      <c r="F31" s="1"/>
      <c r="G31" s="1"/>
      <c r="H31" s="1"/>
      <c r="I31" s="1"/>
      <c r="J31" s="1"/>
      <c r="K31" s="1"/>
    </row>
    <row r="32" spans="1:11" ht="24" customHeight="1">
      <c r="A32" s="1"/>
      <c r="B32" s="1"/>
      <c r="C32" s="1"/>
      <c r="D32" s="1"/>
      <c r="E32" s="1"/>
      <c r="F32" s="1"/>
      <c r="G32" s="1"/>
      <c r="H32" s="1"/>
      <c r="I32" s="1"/>
      <c r="J32" s="1"/>
      <c r="K32" s="1"/>
    </row>
    <row r="33" spans="1:11" ht="30" customHeight="1">
      <c r="A33" s="11" t="s">
        <v>480</v>
      </c>
      <c r="B33" s="10"/>
      <c r="C33" s="10"/>
      <c r="D33" s="10"/>
      <c r="E33" s="10"/>
      <c r="F33" s="10"/>
      <c r="G33" s="10"/>
      <c r="H33" s="10"/>
      <c r="I33" s="10"/>
      <c r="J33" s="1"/>
      <c r="K33" s="1"/>
    </row>
    <row r="34" spans="1:11" ht="24" customHeight="1">
      <c r="A34" s="4" t="s">
        <v>481</v>
      </c>
      <c r="B34" s="1"/>
      <c r="C34" s="1"/>
      <c r="D34" s="1"/>
      <c r="E34" s="1"/>
      <c r="F34" s="1"/>
      <c r="G34" s="1"/>
      <c r="H34" s="1"/>
      <c r="I34" s="1"/>
      <c r="J34" s="1"/>
      <c r="K34" s="1"/>
    </row>
    <row r="35" spans="1:11" ht="24" customHeight="1">
      <c r="A35" s="4" t="s">
        <v>482</v>
      </c>
      <c r="B35" s="1"/>
      <c r="C35" s="1"/>
      <c r="D35" s="1"/>
      <c r="E35" s="1"/>
      <c r="F35" s="1"/>
      <c r="G35" s="1"/>
      <c r="H35" s="1"/>
      <c r="I35" s="1"/>
      <c r="J35" s="1"/>
      <c r="K35" s="1"/>
    </row>
    <row r="36" spans="1:11" ht="57.95" customHeight="1">
      <c r="A36" s="12" t="s">
        <v>380</v>
      </c>
      <c r="B36" s="12" t="s">
        <v>483</v>
      </c>
      <c r="C36" s="12" t="s">
        <v>471</v>
      </c>
      <c r="D36" s="12" t="s">
        <v>484</v>
      </c>
      <c r="E36" s="12" t="s">
        <v>485</v>
      </c>
      <c r="F36" s="12" t="s">
        <v>486</v>
      </c>
      <c r="G36" s="12" t="s">
        <v>487</v>
      </c>
      <c r="H36" s="12" t="s">
        <v>488</v>
      </c>
      <c r="I36" s="12" t="s">
        <v>489</v>
      </c>
      <c r="J36" s="1"/>
      <c r="K36" s="1"/>
    </row>
    <row r="37" spans="1:11" ht="68.099999999999994" customHeight="1">
      <c r="A37" s="21">
        <v>46266</v>
      </c>
      <c r="B37" s="13" t="s">
        <v>460</v>
      </c>
      <c r="C37" s="13" t="s">
        <v>366</v>
      </c>
      <c r="D37" s="13">
        <v>120</v>
      </c>
      <c r="E37" s="13">
        <v>160</v>
      </c>
      <c r="F37" s="13">
        <v>16</v>
      </c>
      <c r="G37" s="16"/>
      <c r="H37" s="23"/>
      <c r="I37" s="13" t="s">
        <v>490</v>
      </c>
      <c r="J37" s="1"/>
      <c r="K37" s="1"/>
    </row>
    <row r="38" spans="1:11" ht="68.099999999999994" customHeight="1">
      <c r="A38" s="21">
        <v>46266</v>
      </c>
      <c r="B38" s="13" t="s">
        <v>466</v>
      </c>
      <c r="C38" s="13" t="s">
        <v>371</v>
      </c>
      <c r="D38" s="13">
        <v>24</v>
      </c>
      <c r="E38" s="13">
        <v>30</v>
      </c>
      <c r="F38" s="13">
        <v>6</v>
      </c>
      <c r="G38" s="16"/>
      <c r="H38" s="23"/>
      <c r="I38" s="13" t="s">
        <v>491</v>
      </c>
      <c r="J38" s="1"/>
      <c r="K38" s="1"/>
    </row>
    <row r="39" spans="1:11" ht="29.1" customHeight="1">
      <c r="A39" s="22"/>
      <c r="B39" s="9"/>
      <c r="C39" s="9"/>
      <c r="D39" s="9"/>
      <c r="E39" s="9"/>
      <c r="F39" s="9"/>
      <c r="G39" s="18"/>
      <c r="H39" s="25"/>
      <c r="I39" s="9"/>
      <c r="J39" s="1"/>
      <c r="K39" s="1"/>
    </row>
    <row r="40" spans="1:11" ht="29.1" customHeight="1">
      <c r="A40" s="22"/>
      <c r="B40" s="9"/>
      <c r="C40" s="9"/>
      <c r="D40" s="9"/>
      <c r="E40" s="9"/>
      <c r="F40" s="9"/>
      <c r="G40" s="18"/>
      <c r="H40" s="25"/>
      <c r="I40" s="9"/>
      <c r="J40" s="1"/>
      <c r="K40" s="1"/>
    </row>
    <row r="41" spans="1:11" ht="29.1" customHeight="1">
      <c r="A41" s="22"/>
      <c r="B41" s="9"/>
      <c r="C41" s="9"/>
      <c r="D41" s="9"/>
      <c r="E41" s="9"/>
      <c r="F41" s="9"/>
      <c r="G41" s="18"/>
      <c r="H41" s="25"/>
      <c r="I41" s="9"/>
      <c r="J41" s="1"/>
      <c r="K41" s="1"/>
    </row>
    <row r="42" spans="1:11" ht="29.1" customHeight="1">
      <c r="A42" s="22"/>
      <c r="B42" s="9"/>
      <c r="C42" s="9"/>
      <c r="D42" s="9"/>
      <c r="E42" s="9"/>
      <c r="F42" s="9"/>
      <c r="G42" s="18"/>
      <c r="H42" s="25"/>
      <c r="I42" s="9"/>
      <c r="J42" s="1"/>
      <c r="K42" s="1"/>
    </row>
    <row r="43" spans="1:11" ht="24" customHeight="1">
      <c r="A43" s="1"/>
      <c r="B43" s="1"/>
      <c r="C43" s="1"/>
      <c r="D43" s="1"/>
      <c r="E43" s="1"/>
      <c r="F43" s="1"/>
      <c r="G43" s="1"/>
      <c r="H43" s="1"/>
      <c r="I43" s="1"/>
      <c r="J43" s="1"/>
      <c r="K43" s="1"/>
    </row>
    <row r="44" spans="1:11" ht="24" customHeight="1">
      <c r="A44" s="1"/>
      <c r="B44" s="1"/>
      <c r="C44" s="1"/>
      <c r="D44" s="1"/>
      <c r="E44" s="1"/>
      <c r="F44" s="1"/>
      <c r="G44" s="1"/>
      <c r="H44" s="1"/>
      <c r="I44" s="1"/>
      <c r="J44" s="1"/>
      <c r="K44" s="1"/>
    </row>
    <row r="45" spans="1:11" ht="24" customHeight="1">
      <c r="A45" s="1"/>
      <c r="B45" s="1"/>
      <c r="C45" s="1"/>
      <c r="D45" s="1"/>
      <c r="E45" s="1"/>
      <c r="F45" s="1"/>
      <c r="G45" s="1"/>
      <c r="H45" s="1"/>
      <c r="I45" s="1"/>
      <c r="J45" s="1"/>
      <c r="K45" s="1"/>
    </row>
    <row r="46" spans="1:11" ht="30" customHeight="1">
      <c r="A46" s="11" t="s">
        <v>492</v>
      </c>
      <c r="B46" s="10"/>
      <c r="C46" s="10"/>
      <c r="D46" s="10"/>
      <c r="E46" s="10"/>
      <c r="F46" s="10"/>
      <c r="G46" s="10"/>
      <c r="H46" s="10"/>
      <c r="I46" s="1"/>
      <c r="J46" s="1"/>
      <c r="K46" s="1"/>
    </row>
    <row r="47" spans="1:11" ht="24" customHeight="1">
      <c r="A47" s="4" t="s">
        <v>493</v>
      </c>
      <c r="B47" s="1"/>
      <c r="C47" s="1"/>
      <c r="D47" s="1"/>
      <c r="E47" s="1"/>
      <c r="F47" s="1"/>
      <c r="G47" s="1"/>
      <c r="H47" s="1"/>
      <c r="I47" s="1"/>
      <c r="J47" s="1"/>
      <c r="K47" s="1"/>
    </row>
    <row r="48" spans="1:11" ht="24" customHeight="1">
      <c r="A48" s="4" t="s">
        <v>494</v>
      </c>
      <c r="B48" s="1"/>
      <c r="C48" s="1"/>
      <c r="D48" s="1"/>
      <c r="E48" s="1"/>
      <c r="F48" s="1"/>
      <c r="G48" s="1"/>
      <c r="H48" s="1"/>
      <c r="I48" s="1"/>
      <c r="J48" s="1"/>
      <c r="K48" s="1"/>
    </row>
    <row r="49" spans="1:11" ht="57.95" customHeight="1">
      <c r="A49" s="12" t="s">
        <v>495</v>
      </c>
      <c r="B49" s="12" t="s">
        <v>496</v>
      </c>
      <c r="C49" s="12" t="s">
        <v>497</v>
      </c>
      <c r="D49" s="12" t="s">
        <v>412</v>
      </c>
      <c r="E49" s="12" t="s">
        <v>498</v>
      </c>
      <c r="F49" s="12" t="s">
        <v>499</v>
      </c>
      <c r="G49" s="12" t="s">
        <v>500</v>
      </c>
      <c r="H49" s="12" t="s">
        <v>501</v>
      </c>
      <c r="I49" s="1"/>
      <c r="J49" s="1"/>
      <c r="K49" s="1"/>
    </row>
    <row r="50" spans="1:11" ht="68.099999999999994" customHeight="1">
      <c r="A50" s="13" t="s">
        <v>502</v>
      </c>
      <c r="B50" s="14">
        <v>46285</v>
      </c>
      <c r="C50" s="13" t="s">
        <v>419</v>
      </c>
      <c r="D50" s="13" t="s">
        <v>385</v>
      </c>
      <c r="E50" s="13" t="s">
        <v>503</v>
      </c>
      <c r="F50" s="13" t="s">
        <v>504</v>
      </c>
      <c r="G50" s="16">
        <v>600</v>
      </c>
      <c r="H50" s="13" t="s">
        <v>505</v>
      </c>
      <c r="I50" s="1"/>
      <c r="J50" s="1"/>
      <c r="K50" s="1"/>
    </row>
    <row r="51" spans="1:11" ht="68.099999999999994" customHeight="1">
      <c r="A51" s="13" t="s">
        <v>506</v>
      </c>
      <c r="B51" s="14">
        <v>46287</v>
      </c>
      <c r="C51" s="13" t="s">
        <v>424</v>
      </c>
      <c r="D51" s="13" t="s">
        <v>386</v>
      </c>
      <c r="E51" s="13" t="s">
        <v>507</v>
      </c>
      <c r="F51" s="13" t="s">
        <v>504</v>
      </c>
      <c r="G51" s="16">
        <v>900</v>
      </c>
      <c r="H51" s="13" t="s">
        <v>508</v>
      </c>
      <c r="I51" s="1"/>
      <c r="J51" s="1"/>
      <c r="K51" s="1"/>
    </row>
    <row r="52" spans="1:11" ht="29.1" customHeight="1">
      <c r="A52" s="9"/>
      <c r="B52" s="15"/>
      <c r="C52" s="9"/>
      <c r="D52" s="9"/>
      <c r="E52" s="9"/>
      <c r="F52" s="9"/>
      <c r="G52" s="17"/>
      <c r="H52" s="9"/>
      <c r="I52" s="1"/>
      <c r="J52" s="1"/>
      <c r="K52" s="1"/>
    </row>
    <row r="53" spans="1:11" ht="29.1" customHeight="1">
      <c r="A53" s="9"/>
      <c r="B53" s="15"/>
      <c r="C53" s="9"/>
      <c r="D53" s="9"/>
      <c r="E53" s="9"/>
      <c r="F53" s="9"/>
      <c r="G53" s="17"/>
      <c r="H53" s="9"/>
      <c r="I53" s="1"/>
      <c r="J53" s="1"/>
      <c r="K53" s="1"/>
    </row>
    <row r="54" spans="1:11" ht="29.1" customHeight="1">
      <c r="A54" s="9"/>
      <c r="B54" s="15"/>
      <c r="C54" s="9"/>
      <c r="D54" s="9"/>
      <c r="E54" s="9"/>
      <c r="F54" s="9"/>
      <c r="G54" s="17"/>
      <c r="H54" s="9"/>
      <c r="I54" s="1"/>
      <c r="J54" s="1"/>
      <c r="K54" s="1"/>
    </row>
    <row r="55" spans="1:11" ht="29.1" customHeight="1">
      <c r="A55" s="9"/>
      <c r="B55" s="15"/>
      <c r="C55" s="9"/>
      <c r="D55" s="9"/>
      <c r="E55" s="9"/>
      <c r="F55" s="9"/>
      <c r="G55" s="17"/>
      <c r="H55" s="9"/>
      <c r="I55" s="1"/>
      <c r="J55" s="1"/>
      <c r="K55" s="1"/>
    </row>
    <row r="56" spans="1:11" ht="24" customHeight="1">
      <c r="A56" s="1"/>
      <c r="B56" s="1"/>
      <c r="C56" s="1"/>
      <c r="D56" s="1"/>
      <c r="E56" s="1"/>
      <c r="F56" s="1"/>
      <c r="G56" s="1"/>
      <c r="H56" s="1"/>
      <c r="I56" s="1"/>
      <c r="J56" s="1"/>
      <c r="K56" s="1"/>
    </row>
    <row r="57" spans="1:11" ht="24" customHeight="1">
      <c r="A57" s="1"/>
      <c r="B57" s="1"/>
      <c r="C57" s="1"/>
      <c r="D57" s="1"/>
      <c r="E57" s="1"/>
      <c r="F57" s="1"/>
      <c r="G57" s="1"/>
      <c r="H57" s="1"/>
      <c r="I57" s="1"/>
      <c r="J57" s="1"/>
      <c r="K57" s="1"/>
    </row>
    <row r="58" spans="1:11" ht="24" customHeight="1">
      <c r="A58" s="1"/>
      <c r="B58" s="1"/>
      <c r="C58" s="1"/>
      <c r="D58" s="1"/>
      <c r="E58" s="1"/>
      <c r="F58" s="1"/>
      <c r="G58" s="1"/>
      <c r="H58" s="1"/>
      <c r="I58" s="1"/>
      <c r="J58" s="1"/>
      <c r="K58" s="1"/>
    </row>
    <row r="59" spans="1:11" ht="30" customHeight="1">
      <c r="A59" s="11" t="s">
        <v>509</v>
      </c>
      <c r="B59" s="10"/>
      <c r="C59" s="10"/>
      <c r="D59" s="10"/>
      <c r="E59" s="10"/>
      <c r="F59" s="10"/>
      <c r="G59" s="10"/>
      <c r="H59" s="1"/>
      <c r="I59" s="1"/>
      <c r="J59" s="1"/>
      <c r="K59" s="1"/>
    </row>
    <row r="60" spans="1:11" ht="24" customHeight="1">
      <c r="A60" s="4" t="s">
        <v>510</v>
      </c>
      <c r="B60" s="1"/>
      <c r="C60" s="1"/>
      <c r="D60" s="1"/>
      <c r="E60" s="1"/>
      <c r="F60" s="1"/>
      <c r="G60" s="1"/>
      <c r="H60" s="1"/>
      <c r="I60" s="1"/>
      <c r="J60" s="1"/>
      <c r="K60" s="1"/>
    </row>
    <row r="61" spans="1:11" ht="24" customHeight="1">
      <c r="A61" s="4" t="s">
        <v>511</v>
      </c>
      <c r="B61" s="1"/>
      <c r="C61" s="1"/>
      <c r="D61" s="1"/>
      <c r="E61" s="1"/>
      <c r="F61" s="1"/>
      <c r="G61" s="1"/>
      <c r="H61" s="1"/>
      <c r="I61" s="1"/>
      <c r="J61" s="1"/>
      <c r="K61" s="1"/>
    </row>
    <row r="62" spans="1:11" ht="57.95" customHeight="1">
      <c r="A62" s="12" t="s">
        <v>380</v>
      </c>
      <c r="B62" s="12" t="s">
        <v>512</v>
      </c>
      <c r="C62" s="12" t="s">
        <v>513</v>
      </c>
      <c r="D62" s="12" t="s">
        <v>514</v>
      </c>
      <c r="E62" s="12" t="s">
        <v>515</v>
      </c>
      <c r="F62" s="12" t="s">
        <v>516</v>
      </c>
      <c r="G62" s="12" t="s">
        <v>517</v>
      </c>
      <c r="H62" s="1"/>
      <c r="I62" s="1"/>
      <c r="J62" s="1"/>
      <c r="K62" s="1"/>
    </row>
    <row r="63" spans="1:11" ht="68.099999999999994" customHeight="1">
      <c r="A63" s="21">
        <v>46266</v>
      </c>
      <c r="B63" s="13" t="s">
        <v>518</v>
      </c>
      <c r="C63" s="13">
        <v>42</v>
      </c>
      <c r="D63" s="13">
        <v>50</v>
      </c>
      <c r="E63" s="13">
        <v>95</v>
      </c>
      <c r="F63" s="13" t="s">
        <v>519</v>
      </c>
      <c r="G63" s="26">
        <f t="shared" ref="G63:G68" si="0">IF(B63="","",IF(OR(B63="Oldest critical vacancy days",B63="Open support cases"),IF(ISNUMBER(C63),C63,"Data missing"),IF(AND(ISNUMBER(C63),ISNUMBER(D63),D63&gt;0),IF(C63&lt;=D63,C63/D63*100,"Check counts"),"Data missing")))</f>
        <v>84</v>
      </c>
      <c r="H63" s="1"/>
      <c r="I63" s="1"/>
      <c r="J63" s="1"/>
      <c r="K63" s="1"/>
    </row>
    <row r="64" spans="1:11" ht="68.099999999999994" customHeight="1">
      <c r="A64" s="21">
        <v>46266</v>
      </c>
      <c r="B64" s="13" t="s">
        <v>520</v>
      </c>
      <c r="C64" s="13">
        <v>19</v>
      </c>
      <c r="D64" s="13">
        <v>25</v>
      </c>
      <c r="E64" s="13">
        <v>98</v>
      </c>
      <c r="F64" s="13" t="s">
        <v>521</v>
      </c>
      <c r="G64" s="26">
        <f t="shared" si="0"/>
        <v>76</v>
      </c>
      <c r="H64" s="1"/>
      <c r="I64" s="1"/>
      <c r="J64" s="1"/>
      <c r="K64" s="1"/>
    </row>
    <row r="65" spans="1:11" ht="29.1" customHeight="1">
      <c r="A65" s="22"/>
      <c r="B65" s="9"/>
      <c r="C65" s="9"/>
      <c r="D65" s="9"/>
      <c r="E65" s="9"/>
      <c r="F65" s="9"/>
      <c r="G65" s="26" t="str">
        <f t="shared" si="0"/>
        <v/>
      </c>
      <c r="H65" s="1"/>
      <c r="I65" s="1"/>
      <c r="J65" s="1"/>
      <c r="K65" s="1"/>
    </row>
    <row r="66" spans="1:11" ht="29.1" customHeight="1">
      <c r="A66" s="22"/>
      <c r="B66" s="9"/>
      <c r="C66" s="9"/>
      <c r="D66" s="9"/>
      <c r="E66" s="9"/>
      <c r="F66" s="9"/>
      <c r="G66" s="26" t="str">
        <f t="shared" si="0"/>
        <v/>
      </c>
      <c r="H66" s="1"/>
      <c r="I66" s="1"/>
      <c r="J66" s="1"/>
      <c r="K66" s="1"/>
    </row>
    <row r="67" spans="1:11" ht="29.1" customHeight="1">
      <c r="A67" s="22"/>
      <c r="B67" s="9"/>
      <c r="C67" s="9"/>
      <c r="D67" s="9"/>
      <c r="E67" s="9"/>
      <c r="F67" s="9"/>
      <c r="G67" s="26" t="str">
        <f t="shared" si="0"/>
        <v/>
      </c>
      <c r="H67" s="1"/>
      <c r="I67" s="1"/>
      <c r="J67" s="1"/>
      <c r="K67" s="1"/>
    </row>
    <row r="68" spans="1:11" ht="29.1" customHeight="1">
      <c r="A68" s="22"/>
      <c r="B68" s="9"/>
      <c r="C68" s="9"/>
      <c r="D68" s="9"/>
      <c r="E68" s="9"/>
      <c r="F68" s="9"/>
      <c r="G68" s="26" t="str">
        <f t="shared" si="0"/>
        <v/>
      </c>
      <c r="H68" s="1"/>
      <c r="I68" s="1"/>
      <c r="J68" s="1"/>
      <c r="K68" s="1"/>
    </row>
    <row r="69" spans="1:11" ht="24" customHeight="1">
      <c r="A69" s="1"/>
      <c r="B69" s="1"/>
      <c r="C69" s="1"/>
      <c r="D69" s="1"/>
      <c r="E69" s="1"/>
      <c r="F69" s="1"/>
      <c r="G69" s="1"/>
      <c r="H69" s="1"/>
      <c r="I69" s="1"/>
      <c r="J69" s="1"/>
      <c r="K69" s="1"/>
    </row>
    <row r="70" spans="1:11" ht="24" customHeight="1">
      <c r="A70" s="1"/>
      <c r="B70" s="1"/>
      <c r="C70" s="1"/>
      <c r="D70" s="1"/>
      <c r="E70" s="1"/>
      <c r="F70" s="1"/>
      <c r="G70" s="1"/>
      <c r="H70" s="1"/>
      <c r="I70" s="1"/>
      <c r="J70" s="1"/>
      <c r="K70" s="1"/>
    </row>
    <row r="71" spans="1:11" ht="24" customHeight="1">
      <c r="A71" s="1"/>
      <c r="B71" s="1"/>
      <c r="C71" s="1"/>
      <c r="D71" s="1"/>
      <c r="E71" s="1"/>
      <c r="F71" s="1"/>
      <c r="G71" s="1"/>
      <c r="H71" s="1"/>
      <c r="I71" s="1"/>
      <c r="J71" s="1"/>
      <c r="K71" s="1"/>
    </row>
    <row r="72" spans="1:11" ht="24" customHeight="1">
      <c r="A72" s="4" t="s">
        <v>522</v>
      </c>
      <c r="B72" s="1"/>
      <c r="C72" s="1"/>
      <c r="D72" s="1"/>
      <c r="E72" s="1"/>
      <c r="F72" s="1"/>
      <c r="G72" s="1"/>
      <c r="H72" s="1"/>
      <c r="I72" s="1"/>
      <c r="J72" s="1"/>
      <c r="K72" s="1"/>
    </row>
    <row r="73" spans="1:11" ht="24" customHeight="1">
      <c r="A73" s="4" t="s">
        <v>523</v>
      </c>
      <c r="B73" s="1"/>
      <c r="C73" s="1"/>
      <c r="D73" s="1"/>
      <c r="E73" s="1"/>
      <c r="F73" s="1"/>
      <c r="G73" s="1"/>
      <c r="H73" s="1"/>
      <c r="I73" s="1"/>
      <c r="J73" s="1"/>
      <c r="K73" s="1"/>
    </row>
    <row r="74" spans="1:11" ht="24" customHeight="1">
      <c r="A74" s="4" t="s">
        <v>524</v>
      </c>
      <c r="B74" s="1"/>
      <c r="C74" s="1"/>
      <c r="D74" s="1"/>
      <c r="E74" s="1"/>
      <c r="F74" s="1"/>
      <c r="G74" s="1"/>
      <c r="H74" s="1"/>
      <c r="I74" s="1"/>
      <c r="J74" s="1"/>
      <c r="K74" s="1"/>
    </row>
    <row r="75" spans="1:11" ht="24" customHeight="1">
      <c r="A75" s="4" t="s">
        <v>525</v>
      </c>
      <c r="B75" s="1"/>
      <c r="C75" s="1"/>
      <c r="D75" s="1"/>
      <c r="E75" s="1"/>
      <c r="F75" s="1"/>
      <c r="G75" s="1"/>
      <c r="H75" s="1"/>
      <c r="I75" s="1"/>
      <c r="J75" s="1"/>
      <c r="K75" s="1"/>
    </row>
    <row r="76" spans="1:11" ht="24" customHeight="1">
      <c r="A76" s="4" t="s">
        <v>526</v>
      </c>
      <c r="B76" s="1"/>
      <c r="C76" s="1"/>
      <c r="D76" s="1"/>
      <c r="E76" s="1"/>
      <c r="F76" s="1"/>
      <c r="G76" s="1"/>
      <c r="H76" s="1"/>
      <c r="I76" s="1"/>
      <c r="J76" s="1"/>
      <c r="K76" s="1"/>
    </row>
    <row r="77" spans="1:11" ht="24" customHeight="1">
      <c r="A77" s="1"/>
      <c r="B77" s="1"/>
      <c r="C77" s="1"/>
      <c r="D77" s="1"/>
      <c r="E77" s="1"/>
      <c r="F77" s="1"/>
      <c r="G77" s="1"/>
      <c r="H77" s="1"/>
      <c r="I77" s="1"/>
      <c r="J77" s="1"/>
      <c r="K77" s="1"/>
    </row>
    <row r="78" spans="1:11" ht="24" customHeight="1">
      <c r="A78" s="1"/>
      <c r="B78" s="1"/>
      <c r="C78" s="1"/>
      <c r="D78" s="1"/>
      <c r="E78" s="1"/>
      <c r="F78" s="1"/>
      <c r="G78" s="1"/>
      <c r="H78" s="1"/>
      <c r="I78" s="1"/>
      <c r="J78" s="1"/>
      <c r="K78" s="1"/>
    </row>
    <row r="79" spans="1:11" ht="24" customHeight="1">
      <c r="A79" s="1"/>
      <c r="B79" s="1"/>
      <c r="C79" s="1"/>
      <c r="D79" s="1"/>
      <c r="E79" s="1"/>
      <c r="F79" s="1"/>
      <c r="G79" s="1"/>
      <c r="H79" s="1"/>
      <c r="I79" s="1"/>
      <c r="J79" s="1"/>
      <c r="K79" s="1"/>
    </row>
    <row r="80" spans="1:11" ht="24" customHeight="1">
      <c r="A80" s="1"/>
      <c r="B80" s="1"/>
      <c r="C80" s="1"/>
      <c r="D80" s="1"/>
      <c r="E80" s="1"/>
      <c r="F80" s="1"/>
      <c r="G80" s="1"/>
      <c r="H80" s="1"/>
      <c r="I80" s="1"/>
      <c r="J80" s="1"/>
      <c r="K80" s="1"/>
    </row>
    <row r="81" spans="1:11" ht="24" customHeight="1">
      <c r="A81" s="1"/>
      <c r="B81" s="1"/>
      <c r="C81" s="1"/>
      <c r="D81" s="1"/>
      <c r="E81" s="1"/>
      <c r="F81" s="1"/>
      <c r="G81" s="1"/>
      <c r="H81" s="1"/>
      <c r="I81" s="1"/>
      <c r="J81" s="1"/>
      <c r="K81" s="1"/>
    </row>
    <row r="82" spans="1:11" ht="24" customHeight="1">
      <c r="A82" s="1"/>
      <c r="B82" s="1"/>
      <c r="C82" s="1"/>
      <c r="D82" s="1"/>
      <c r="E82" s="1"/>
      <c r="F82" s="1"/>
      <c r="G82" s="1"/>
      <c r="H82" s="1"/>
      <c r="I82" s="1"/>
      <c r="J82" s="1"/>
      <c r="K82" s="1"/>
    </row>
    <row r="83" spans="1:11" ht="24" customHeight="1">
      <c r="A83" s="1"/>
      <c r="B83" s="1"/>
      <c r="C83" s="1"/>
      <c r="D83" s="1"/>
      <c r="E83" s="1"/>
      <c r="F83" s="1"/>
      <c r="G83" s="1"/>
      <c r="H83" s="1"/>
      <c r="I83" s="1"/>
      <c r="J83" s="1"/>
      <c r="K83" s="1"/>
    </row>
    <row r="84" spans="1:11" ht="24" customHeight="1">
      <c r="A84" s="1"/>
      <c r="B84" s="1"/>
      <c r="C84" s="1"/>
      <c r="D84" s="1"/>
      <c r="E84" s="1"/>
      <c r="F84" s="1"/>
      <c r="G84" s="1"/>
      <c r="H84" s="1"/>
      <c r="I84" s="1"/>
      <c r="J84" s="1"/>
      <c r="K84" s="1"/>
    </row>
    <row r="85" spans="1:11" ht="24" customHeight="1">
      <c r="A85" s="1"/>
      <c r="B85" s="1"/>
      <c r="C85" s="1"/>
      <c r="D85" s="1"/>
      <c r="E85" s="1"/>
      <c r="F85" s="1"/>
      <c r="G85" s="1"/>
      <c r="H85" s="1"/>
      <c r="I85" s="1"/>
      <c r="J85" s="1"/>
      <c r="K85" s="1"/>
    </row>
    <row r="86" spans="1:11" ht="24" customHeight="1">
      <c r="A86" s="1"/>
      <c r="B86" s="1"/>
      <c r="C86" s="1"/>
      <c r="D86" s="1"/>
      <c r="E86" s="1"/>
      <c r="F86" s="1"/>
      <c r="G86" s="1"/>
      <c r="H86" s="1"/>
      <c r="I86" s="1"/>
      <c r="J86" s="1"/>
      <c r="K86" s="1"/>
    </row>
    <row r="87" spans="1:11" ht="24" customHeight="1">
      <c r="A87" s="1"/>
      <c r="B87" s="1"/>
      <c r="C87" s="1"/>
      <c r="D87" s="1"/>
      <c r="E87" s="1"/>
      <c r="F87" s="1"/>
      <c r="G87" s="1"/>
      <c r="H87" s="1"/>
      <c r="I87" s="1"/>
      <c r="J87" s="1"/>
      <c r="K87" s="1"/>
    </row>
    <row r="88" spans="1:11" ht="24" customHeight="1">
      <c r="A88" s="1"/>
      <c r="B88" s="1"/>
      <c r="C88" s="1"/>
      <c r="D88" s="1"/>
      <c r="E88" s="1"/>
      <c r="F88" s="1"/>
      <c r="G88" s="1"/>
      <c r="H88" s="1"/>
      <c r="I88" s="1"/>
      <c r="J88" s="1"/>
      <c r="K88" s="1"/>
    </row>
    <row r="89" spans="1:11" ht="24" customHeight="1">
      <c r="A89" s="1"/>
      <c r="B89" s="1"/>
      <c r="C89" s="1"/>
      <c r="D89" s="1"/>
      <c r="E89" s="1"/>
      <c r="F89" s="1"/>
      <c r="G89" s="1"/>
      <c r="H89" s="1"/>
      <c r="I89" s="1"/>
      <c r="J89" s="1"/>
      <c r="K89" s="1"/>
    </row>
    <row r="90" spans="1:11" ht="24" customHeight="1">
      <c r="A90" s="1"/>
      <c r="B90" s="1"/>
      <c r="C90" s="1"/>
      <c r="D90" s="1"/>
      <c r="E90" s="1"/>
      <c r="F90" s="1"/>
      <c r="G90" s="1"/>
      <c r="H90" s="1"/>
      <c r="I90" s="1"/>
      <c r="J90" s="1"/>
      <c r="K90" s="1"/>
    </row>
    <row r="91" spans="1:11" ht="24" customHeight="1">
      <c r="A91" s="1"/>
      <c r="B91" s="1"/>
      <c r="C91" s="1"/>
      <c r="D91" s="1"/>
      <c r="E91" s="1"/>
      <c r="F91" s="1"/>
      <c r="G91" s="1"/>
      <c r="H91" s="1"/>
      <c r="I91" s="1"/>
      <c r="J91" s="1"/>
      <c r="K91" s="1"/>
    </row>
    <row r="92" spans="1:11" ht="24" customHeight="1">
      <c r="A92" s="1"/>
      <c r="B92" s="1"/>
      <c r="C92" s="1"/>
      <c r="D92" s="1"/>
      <c r="E92" s="1"/>
      <c r="F92" s="1"/>
      <c r="G92" s="1"/>
      <c r="H92" s="1"/>
      <c r="I92" s="1"/>
      <c r="J92" s="1"/>
      <c r="K92" s="1"/>
    </row>
    <row r="93" spans="1:11" ht="24" customHeight="1">
      <c r="A93" s="1"/>
      <c r="B93" s="1"/>
      <c r="C93" s="1"/>
      <c r="D93" s="1"/>
      <c r="E93" s="1"/>
      <c r="F93" s="1"/>
      <c r="G93" s="1"/>
      <c r="H93" s="1"/>
      <c r="I93" s="1"/>
      <c r="J93" s="1"/>
      <c r="K93" s="1"/>
    </row>
    <row r="94" spans="1:11" ht="24" customHeight="1">
      <c r="A94" s="1"/>
      <c r="B94" s="1"/>
      <c r="C94" s="1"/>
      <c r="D94" s="1"/>
      <c r="E94" s="1"/>
      <c r="F94" s="1"/>
      <c r="G94" s="1"/>
      <c r="H94" s="1"/>
      <c r="I94" s="1"/>
      <c r="J94" s="1"/>
      <c r="K94" s="1"/>
    </row>
    <row r="95" spans="1:11" ht="24" customHeight="1">
      <c r="A95" s="1"/>
      <c r="B95" s="1"/>
      <c r="C95" s="1"/>
      <c r="D95" s="1"/>
      <c r="E95" s="1"/>
      <c r="F95" s="1"/>
      <c r="G95" s="1"/>
      <c r="H95" s="1"/>
      <c r="I95" s="1"/>
      <c r="J95" s="1"/>
      <c r="K95" s="1"/>
    </row>
    <row r="96" spans="1:11" ht="24" customHeight="1">
      <c r="A96" s="1"/>
      <c r="B96" s="1"/>
      <c r="C96" s="1"/>
      <c r="D96" s="1"/>
      <c r="E96" s="1"/>
      <c r="F96" s="1"/>
      <c r="G96" s="1"/>
      <c r="H96" s="1"/>
      <c r="I96" s="1"/>
      <c r="J96" s="1"/>
      <c r="K96" s="1"/>
    </row>
    <row r="97" spans="1:11" ht="24" customHeight="1">
      <c r="A97" s="1"/>
      <c r="B97" s="1"/>
      <c r="C97" s="1"/>
      <c r="D97" s="1"/>
      <c r="E97" s="1"/>
      <c r="F97" s="1"/>
      <c r="G97" s="1"/>
      <c r="H97" s="1"/>
      <c r="I97" s="1"/>
      <c r="J97" s="1"/>
      <c r="K97" s="1"/>
    </row>
    <row r="98" spans="1:11" ht="24" customHeight="1">
      <c r="A98" s="1"/>
      <c r="B98" s="1"/>
      <c r="C98" s="1"/>
      <c r="D98" s="1"/>
      <c r="E98" s="1"/>
      <c r="F98" s="1"/>
      <c r="G98" s="1"/>
      <c r="H98" s="1"/>
      <c r="I98" s="1"/>
      <c r="J98" s="1"/>
      <c r="K98" s="1"/>
    </row>
    <row r="99" spans="1:11" ht="24" customHeight="1">
      <c r="A99" s="1"/>
      <c r="B99" s="1"/>
      <c r="C99" s="1"/>
      <c r="D99" s="1"/>
      <c r="E99" s="1"/>
      <c r="F99" s="1"/>
      <c r="G99" s="1"/>
      <c r="H99" s="1"/>
      <c r="I99" s="1"/>
      <c r="J99" s="1"/>
      <c r="K99" s="1"/>
    </row>
    <row r="100" spans="1:11" ht="24" customHeight="1">
      <c r="A100" s="1"/>
      <c r="B100" s="1"/>
      <c r="C100" s="1"/>
      <c r="D100" s="1"/>
      <c r="E100" s="1"/>
      <c r="F100" s="1"/>
      <c r="G100" s="1"/>
      <c r="H100" s="1"/>
      <c r="I100" s="1"/>
      <c r="J100" s="1"/>
      <c r="K100" s="1"/>
    </row>
    <row r="101" spans="1:11" ht="24" customHeight="1">
      <c r="A101" s="1"/>
      <c r="B101" s="1"/>
      <c r="C101" s="1"/>
      <c r="D101" s="1"/>
      <c r="E101" s="1"/>
      <c r="F101" s="1"/>
      <c r="G101" s="1"/>
      <c r="H101" s="1"/>
      <c r="I101" s="1"/>
      <c r="J101" s="1"/>
      <c r="K101" s="1"/>
    </row>
    <row r="102" spans="1:11" ht="24" customHeight="1">
      <c r="A102" s="1"/>
      <c r="B102" s="1"/>
      <c r="C102" s="1"/>
      <c r="D102" s="1"/>
      <c r="E102" s="1"/>
      <c r="F102" s="1"/>
      <c r="G102" s="1"/>
      <c r="H102" s="1"/>
      <c r="I102" s="1"/>
      <c r="J102" s="1"/>
      <c r="K102" s="1"/>
    </row>
    <row r="103" spans="1:11" ht="24" customHeight="1">
      <c r="A103" s="1"/>
      <c r="B103" s="1"/>
      <c r="C103" s="1"/>
      <c r="D103" s="1"/>
      <c r="E103" s="1"/>
      <c r="F103" s="1"/>
      <c r="G103" s="1"/>
      <c r="H103" s="1"/>
      <c r="I103" s="1"/>
      <c r="J103" s="1"/>
      <c r="K103" s="1"/>
    </row>
    <row r="104" spans="1:11" ht="24" customHeight="1">
      <c r="A104" s="1"/>
      <c r="B104" s="1"/>
      <c r="C104" s="1"/>
      <c r="D104" s="1"/>
      <c r="E104" s="1"/>
      <c r="F104" s="1"/>
      <c r="G104" s="1"/>
      <c r="H104" s="1"/>
      <c r="I104" s="1"/>
      <c r="J104" s="1"/>
      <c r="K104" s="1"/>
    </row>
    <row r="105" spans="1:11" ht="24" customHeight="1">
      <c r="A105" s="1"/>
      <c r="B105" s="1"/>
      <c r="C105" s="1"/>
      <c r="D105" s="1"/>
      <c r="E105" s="1"/>
      <c r="F105" s="1"/>
      <c r="G105" s="1"/>
      <c r="H105" s="1"/>
      <c r="I105" s="1"/>
      <c r="J105" s="1"/>
      <c r="K105" s="1"/>
    </row>
    <row r="106" spans="1:11" ht="24" customHeight="1">
      <c r="A106" s="1"/>
      <c r="B106" s="1"/>
      <c r="C106" s="1"/>
      <c r="D106" s="1"/>
      <c r="E106" s="1"/>
      <c r="F106" s="1"/>
      <c r="G106" s="1"/>
      <c r="H106" s="1"/>
      <c r="I106" s="1"/>
      <c r="J106" s="1"/>
      <c r="K106" s="1"/>
    </row>
    <row r="107" spans="1:11" ht="24" customHeight="1">
      <c r="A107" s="1"/>
      <c r="B107" s="1"/>
      <c r="C107" s="1"/>
      <c r="D107" s="1"/>
      <c r="E107" s="1"/>
      <c r="F107" s="1"/>
      <c r="G107" s="1"/>
      <c r="H107" s="1"/>
      <c r="I107" s="1"/>
      <c r="J107" s="1"/>
      <c r="K107" s="1"/>
    </row>
    <row r="108" spans="1:11" ht="24" customHeight="1">
      <c r="A108" s="1"/>
      <c r="B108" s="1"/>
      <c r="C108" s="1"/>
      <c r="D108" s="1"/>
      <c r="E108" s="1"/>
      <c r="F108" s="1"/>
      <c r="G108" s="1"/>
      <c r="H108" s="1"/>
      <c r="I108" s="1"/>
      <c r="J108" s="1"/>
      <c r="K108" s="1"/>
    </row>
    <row r="109" spans="1:11" ht="24" customHeight="1">
      <c r="A109" s="1"/>
      <c r="B109" s="1"/>
      <c r="C109" s="1"/>
      <c r="D109" s="1"/>
      <c r="E109" s="1"/>
      <c r="F109" s="1"/>
      <c r="G109" s="1"/>
      <c r="H109" s="1"/>
      <c r="I109" s="1"/>
      <c r="J109" s="1"/>
      <c r="K109" s="1"/>
    </row>
    <row r="110" spans="1:11" ht="24" customHeight="1">
      <c r="A110" s="1"/>
      <c r="B110" s="1"/>
      <c r="C110" s="1"/>
      <c r="D110" s="1"/>
      <c r="E110" s="1"/>
      <c r="F110" s="1"/>
      <c r="G110" s="1"/>
      <c r="H110" s="1"/>
      <c r="I110" s="1"/>
      <c r="J110" s="1"/>
      <c r="K110" s="1"/>
    </row>
    <row r="111" spans="1:11" ht="24" customHeight="1">
      <c r="A111" s="1"/>
      <c r="B111" s="1"/>
      <c r="C111" s="1"/>
      <c r="D111" s="1"/>
      <c r="E111" s="1"/>
      <c r="F111" s="1"/>
      <c r="G111" s="1"/>
      <c r="H111" s="1"/>
      <c r="I111" s="1"/>
      <c r="J111" s="1"/>
      <c r="K111" s="1"/>
    </row>
    <row r="112" spans="1:11" ht="24" customHeight="1">
      <c r="A112" s="1"/>
      <c r="B112" s="1"/>
      <c r="C112" s="1"/>
      <c r="D112" s="1"/>
      <c r="E112" s="1"/>
      <c r="F112" s="1"/>
      <c r="G112" s="1"/>
      <c r="H112" s="1"/>
      <c r="I112" s="1"/>
      <c r="J112" s="1"/>
      <c r="K112" s="1"/>
    </row>
    <row r="113" spans="1:11" ht="24" customHeight="1">
      <c r="A113" s="1"/>
      <c r="B113" s="1"/>
      <c r="C113" s="1"/>
      <c r="D113" s="1"/>
      <c r="E113" s="1"/>
      <c r="F113" s="1"/>
      <c r="G113" s="1"/>
      <c r="H113" s="1"/>
      <c r="I113" s="1"/>
      <c r="J113" s="1"/>
      <c r="K113" s="1"/>
    </row>
    <row r="114" spans="1:11" ht="24" customHeight="1">
      <c r="A114" s="1"/>
      <c r="B114" s="1"/>
      <c r="C114" s="1"/>
      <c r="D114" s="1"/>
      <c r="E114" s="1"/>
      <c r="F114" s="1"/>
      <c r="G114" s="1"/>
      <c r="H114" s="1"/>
      <c r="I114" s="1"/>
      <c r="J114" s="1"/>
      <c r="K114" s="1"/>
    </row>
    <row r="115" spans="1:11" ht="24" customHeight="1">
      <c r="A115" s="1"/>
      <c r="B115" s="1"/>
      <c r="C115" s="1"/>
      <c r="D115" s="1"/>
      <c r="E115" s="1"/>
      <c r="F115" s="1"/>
      <c r="G115" s="1"/>
      <c r="H115" s="1"/>
      <c r="I115" s="1"/>
      <c r="J115" s="1"/>
      <c r="K115" s="1"/>
    </row>
    <row r="116" spans="1:11" ht="24" customHeight="1">
      <c r="A116" s="1"/>
      <c r="B116" s="1"/>
      <c r="C116" s="1"/>
      <c r="D116" s="1"/>
      <c r="E116" s="1"/>
      <c r="F116" s="1"/>
      <c r="G116" s="1"/>
      <c r="H116" s="1"/>
      <c r="I116" s="1"/>
      <c r="J116" s="1"/>
      <c r="K116" s="1"/>
    </row>
    <row r="117" spans="1:11" ht="24" customHeight="1">
      <c r="A117" s="1"/>
      <c r="B117" s="1"/>
      <c r="C117" s="1"/>
      <c r="D117" s="1"/>
      <c r="E117" s="1"/>
      <c r="F117" s="1"/>
      <c r="G117" s="1"/>
      <c r="H117" s="1"/>
      <c r="I117" s="1"/>
      <c r="J117" s="1"/>
      <c r="K117" s="1"/>
    </row>
    <row r="118" spans="1:11" ht="24" customHeight="1">
      <c r="A118" s="1"/>
      <c r="B118" s="1"/>
      <c r="C118" s="1"/>
      <c r="D118" s="1"/>
      <c r="E118" s="1"/>
      <c r="F118" s="1"/>
      <c r="G118" s="1"/>
      <c r="H118" s="1"/>
      <c r="I118" s="1"/>
      <c r="J118" s="1"/>
      <c r="K118" s="1"/>
    </row>
    <row r="119" spans="1:11" ht="24" customHeight="1">
      <c r="A119" s="1"/>
      <c r="B119" s="1"/>
      <c r="C119" s="1"/>
      <c r="D119" s="1"/>
      <c r="E119" s="1"/>
      <c r="F119" s="1"/>
      <c r="G119" s="1"/>
      <c r="H119" s="1"/>
      <c r="I119" s="1"/>
      <c r="J119" s="1"/>
      <c r="K119" s="1"/>
    </row>
    <row r="120" spans="1:11" ht="24" customHeight="1">
      <c r="A120" s="1"/>
      <c r="B120" s="1"/>
      <c r="C120" s="1"/>
      <c r="D120" s="1"/>
      <c r="E120" s="1"/>
      <c r="F120" s="1"/>
      <c r="G120" s="1"/>
      <c r="H120" s="1"/>
      <c r="I120" s="1"/>
      <c r="J120" s="1"/>
      <c r="K120" s="1"/>
    </row>
    <row r="121" spans="1:11" ht="24" customHeight="1">
      <c r="A121" s="1"/>
      <c r="B121" s="1"/>
      <c r="C121" s="1"/>
      <c r="D121" s="1"/>
      <c r="E121" s="1"/>
      <c r="F121" s="1"/>
      <c r="G121" s="1"/>
      <c r="H121" s="1"/>
      <c r="I121" s="1"/>
      <c r="J121" s="1"/>
      <c r="K121" s="1"/>
    </row>
    <row r="122" spans="1:11" ht="24" customHeight="1">
      <c r="A122" s="1"/>
      <c r="B122" s="1"/>
      <c r="C122" s="1"/>
      <c r="D122" s="1"/>
      <c r="E122" s="1"/>
      <c r="F122" s="1"/>
      <c r="G122" s="1"/>
      <c r="H122" s="1"/>
      <c r="I122" s="1"/>
      <c r="J122" s="1"/>
      <c r="K122" s="1"/>
    </row>
    <row r="123" spans="1:11" ht="24" customHeight="1">
      <c r="A123" s="1"/>
      <c r="B123" s="1"/>
      <c r="C123" s="1"/>
      <c r="D123" s="1"/>
      <c r="E123" s="1"/>
      <c r="F123" s="1"/>
      <c r="G123" s="1"/>
      <c r="H123" s="1"/>
      <c r="I123" s="1"/>
      <c r="J123" s="1"/>
      <c r="K123" s="1"/>
    </row>
    <row r="124" spans="1:11" ht="24" customHeight="1">
      <c r="A124" s="1"/>
      <c r="B124" s="1"/>
      <c r="C124" s="1"/>
      <c r="D124" s="1"/>
      <c r="E124" s="1"/>
      <c r="F124" s="1"/>
      <c r="G124" s="1"/>
      <c r="H124" s="1"/>
      <c r="I124" s="1"/>
      <c r="J124" s="1"/>
      <c r="K124" s="1"/>
    </row>
    <row r="125" spans="1:11" ht="24" customHeight="1">
      <c r="A125" s="1"/>
      <c r="B125" s="1"/>
      <c r="C125" s="1"/>
      <c r="D125" s="1"/>
      <c r="E125" s="1"/>
      <c r="F125" s="1"/>
      <c r="G125" s="1"/>
      <c r="H125" s="1"/>
      <c r="I125" s="1"/>
      <c r="J125" s="1"/>
      <c r="K125" s="1"/>
    </row>
    <row r="126" spans="1:11" ht="24" customHeight="1">
      <c r="A126" s="1"/>
      <c r="B126" s="1"/>
      <c r="C126" s="1"/>
      <c r="D126" s="1"/>
      <c r="E126" s="1"/>
      <c r="F126" s="1"/>
      <c r="G126" s="1"/>
      <c r="H126" s="1"/>
      <c r="I126" s="1"/>
      <c r="J126" s="1"/>
      <c r="K126" s="1"/>
    </row>
    <row r="127" spans="1:11" ht="24" customHeight="1">
      <c r="A127" s="1"/>
      <c r="B127" s="1"/>
      <c r="C127" s="1"/>
      <c r="D127" s="1"/>
      <c r="E127" s="1"/>
      <c r="F127" s="1"/>
      <c r="G127" s="1"/>
      <c r="H127" s="1"/>
      <c r="I127" s="1"/>
      <c r="J127" s="1"/>
      <c r="K127" s="1"/>
    </row>
    <row r="128" spans="1:11" ht="24" customHeight="1">
      <c r="A128" s="1"/>
      <c r="B128" s="1"/>
      <c r="C128" s="1"/>
      <c r="D128" s="1"/>
      <c r="E128" s="1"/>
      <c r="F128" s="1"/>
      <c r="G128" s="1"/>
      <c r="H128" s="1"/>
      <c r="I128" s="1"/>
      <c r="J128" s="1"/>
      <c r="K128" s="1"/>
    </row>
    <row r="129" spans="1:11" ht="24" customHeight="1">
      <c r="A129" s="1"/>
      <c r="B129" s="1"/>
      <c r="C129" s="1"/>
      <c r="D129" s="1"/>
      <c r="E129" s="1"/>
      <c r="F129" s="1"/>
      <c r="G129" s="1"/>
      <c r="H129" s="1"/>
      <c r="I129" s="1"/>
      <c r="J129" s="1"/>
      <c r="K129" s="1"/>
    </row>
    <row r="130" spans="1:11" ht="24" customHeight="1">
      <c r="A130" s="1"/>
      <c r="B130" s="1"/>
      <c r="C130" s="1"/>
      <c r="D130" s="1"/>
      <c r="E130" s="1"/>
      <c r="F130" s="1"/>
      <c r="G130" s="1"/>
      <c r="H130" s="1"/>
      <c r="I130" s="1"/>
      <c r="J130" s="1"/>
      <c r="K130" s="1"/>
    </row>
    <row r="131" spans="1:11" ht="24" customHeight="1">
      <c r="A131" s="1"/>
      <c r="B131" s="1"/>
      <c r="C131" s="1"/>
      <c r="D131" s="1"/>
      <c r="E131" s="1"/>
      <c r="F131" s="1"/>
      <c r="G131" s="1"/>
      <c r="H131" s="1"/>
      <c r="I131" s="1"/>
      <c r="J131" s="1"/>
      <c r="K131" s="1"/>
    </row>
    <row r="132" spans="1:11" ht="24" customHeight="1">
      <c r="A132" s="1"/>
      <c r="B132" s="1"/>
      <c r="C132" s="1"/>
      <c r="D132" s="1"/>
      <c r="E132" s="1"/>
      <c r="F132" s="1"/>
      <c r="G132" s="1"/>
      <c r="H132" s="1"/>
      <c r="I132" s="1"/>
      <c r="J132" s="1"/>
      <c r="K132" s="1"/>
    </row>
    <row r="133" spans="1:11" ht="24" customHeight="1">
      <c r="A133" s="1"/>
      <c r="B133" s="1"/>
      <c r="C133" s="1"/>
      <c r="D133" s="1"/>
      <c r="E133" s="1"/>
      <c r="F133" s="1"/>
      <c r="G133" s="1"/>
      <c r="H133" s="1"/>
      <c r="I133" s="1"/>
      <c r="J133" s="1"/>
      <c r="K133" s="1"/>
    </row>
    <row r="134" spans="1:11" ht="24" customHeight="1">
      <c r="A134" s="1"/>
      <c r="B134" s="1"/>
      <c r="C134" s="1"/>
      <c r="D134" s="1"/>
      <c r="E134" s="1"/>
      <c r="F134" s="1"/>
      <c r="G134" s="1"/>
      <c r="H134" s="1"/>
      <c r="I134" s="1"/>
      <c r="J134" s="1"/>
      <c r="K134" s="1"/>
    </row>
    <row r="135" spans="1:11" ht="24" customHeight="1">
      <c r="A135" s="1"/>
      <c r="B135" s="1"/>
      <c r="C135" s="1"/>
      <c r="D135" s="1"/>
      <c r="E135" s="1"/>
      <c r="F135" s="1"/>
      <c r="G135" s="1"/>
      <c r="H135" s="1"/>
      <c r="I135" s="1"/>
      <c r="J135" s="1"/>
      <c r="K135" s="1"/>
    </row>
    <row r="136" spans="1:11" ht="24" customHeight="1">
      <c r="A136" s="1"/>
      <c r="B136" s="1"/>
      <c r="C136" s="1"/>
      <c r="D136" s="1"/>
      <c r="E136" s="1"/>
      <c r="F136" s="1"/>
      <c r="G136" s="1"/>
      <c r="H136" s="1"/>
      <c r="I136" s="1"/>
      <c r="J136" s="1"/>
      <c r="K136" s="1"/>
    </row>
    <row r="137" spans="1:11" ht="24" customHeight="1">
      <c r="A137" s="1"/>
      <c r="B137" s="1"/>
      <c r="C137" s="1"/>
      <c r="D137" s="1"/>
      <c r="E137" s="1"/>
      <c r="F137" s="1"/>
      <c r="G137" s="1"/>
      <c r="H137" s="1"/>
      <c r="I137" s="1"/>
      <c r="J137" s="1"/>
      <c r="K137" s="1"/>
    </row>
    <row r="138" spans="1:11" ht="24" customHeight="1">
      <c r="A138" s="1"/>
      <c r="B138" s="1"/>
      <c r="C138" s="1"/>
      <c r="D138" s="1"/>
      <c r="E138" s="1"/>
      <c r="F138" s="1"/>
      <c r="G138" s="1"/>
      <c r="H138" s="1"/>
      <c r="I138" s="1"/>
      <c r="J138" s="1"/>
      <c r="K138" s="1"/>
    </row>
    <row r="139" spans="1:11" ht="24" customHeight="1">
      <c r="A139" s="1"/>
      <c r="B139" s="1"/>
      <c r="C139" s="1"/>
      <c r="D139" s="1"/>
      <c r="E139" s="1"/>
      <c r="F139" s="1"/>
      <c r="G139" s="1"/>
      <c r="H139" s="1"/>
      <c r="I139" s="1"/>
      <c r="J139" s="1"/>
      <c r="K139" s="1"/>
    </row>
    <row r="140" spans="1:11" ht="24" customHeight="1">
      <c r="A140" s="1"/>
      <c r="B140" s="1"/>
      <c r="C140" s="1"/>
      <c r="D140" s="1"/>
      <c r="E140" s="1"/>
      <c r="F140" s="1"/>
      <c r="G140" s="1"/>
      <c r="H140" s="1"/>
      <c r="I140" s="1"/>
      <c r="J140" s="1"/>
      <c r="K140" s="1"/>
    </row>
    <row r="141" spans="1:11" ht="24" customHeight="1">
      <c r="A141" s="1"/>
      <c r="B141" s="1"/>
      <c r="C141" s="1"/>
      <c r="D141" s="1"/>
      <c r="E141" s="1"/>
      <c r="F141" s="1"/>
      <c r="G141" s="1"/>
      <c r="H141" s="1"/>
      <c r="I141" s="1"/>
      <c r="J141" s="1"/>
      <c r="K141" s="1"/>
    </row>
    <row r="142" spans="1:11" ht="24" customHeight="1">
      <c r="A142" s="1"/>
      <c r="B142" s="1"/>
      <c r="C142" s="1"/>
      <c r="D142" s="1"/>
      <c r="E142" s="1"/>
      <c r="F142" s="1"/>
      <c r="G142" s="1"/>
      <c r="H142" s="1"/>
      <c r="I142" s="1"/>
      <c r="J142" s="1"/>
      <c r="K142" s="1"/>
    </row>
    <row r="143" spans="1:11" ht="24" customHeight="1">
      <c r="A143" s="1"/>
      <c r="B143" s="1"/>
      <c r="C143" s="1"/>
      <c r="D143" s="1"/>
      <c r="E143" s="1"/>
      <c r="F143" s="1"/>
      <c r="G143" s="1"/>
      <c r="H143" s="1"/>
      <c r="I143" s="1"/>
      <c r="J143" s="1"/>
      <c r="K143" s="1"/>
    </row>
    <row r="144" spans="1:11" ht="24" customHeight="1">
      <c r="A144" s="1"/>
      <c r="B144" s="1"/>
      <c r="C144" s="1"/>
      <c r="D144" s="1"/>
      <c r="E144" s="1"/>
      <c r="F144" s="1"/>
      <c r="G144" s="1"/>
      <c r="H144" s="1"/>
      <c r="I144" s="1"/>
      <c r="J144" s="1"/>
      <c r="K144" s="1"/>
    </row>
    <row r="145" spans="1:11" ht="24" customHeight="1">
      <c r="A145" s="1"/>
      <c r="B145" s="1"/>
      <c r="C145" s="1"/>
      <c r="D145" s="1"/>
      <c r="E145" s="1"/>
      <c r="F145" s="1"/>
      <c r="G145" s="1"/>
      <c r="H145" s="1"/>
      <c r="I145" s="1"/>
      <c r="J145" s="1"/>
      <c r="K145" s="1"/>
    </row>
    <row r="146" spans="1:11" ht="24" customHeight="1">
      <c r="A146" s="1"/>
      <c r="B146" s="1"/>
      <c r="C146" s="1"/>
      <c r="D146" s="1"/>
      <c r="E146" s="1"/>
      <c r="F146" s="1"/>
      <c r="G146" s="1"/>
      <c r="H146" s="1"/>
      <c r="I146" s="1"/>
      <c r="J146" s="1"/>
      <c r="K146" s="1"/>
    </row>
    <row r="147" spans="1:11" ht="24" customHeight="1">
      <c r="A147" s="1"/>
      <c r="B147" s="1"/>
      <c r="C147" s="1"/>
      <c r="D147" s="1"/>
      <c r="E147" s="1"/>
      <c r="F147" s="1"/>
      <c r="G147" s="1"/>
      <c r="H147" s="1"/>
      <c r="I147" s="1"/>
      <c r="J147" s="1"/>
      <c r="K147" s="1"/>
    </row>
    <row r="148" spans="1:11" ht="24" customHeight="1">
      <c r="A148" s="1"/>
      <c r="B148" s="1"/>
      <c r="C148" s="1"/>
      <c r="D148" s="1"/>
      <c r="E148" s="1"/>
      <c r="F148" s="1"/>
      <c r="G148" s="1"/>
      <c r="H148" s="1"/>
      <c r="I148" s="1"/>
      <c r="J148" s="1"/>
      <c r="K148" s="1"/>
    </row>
    <row r="149" spans="1:11" ht="24" customHeight="1">
      <c r="A149" s="1"/>
      <c r="B149" s="1"/>
      <c r="C149" s="1"/>
      <c r="D149" s="1"/>
      <c r="E149" s="1"/>
      <c r="F149" s="1"/>
      <c r="G149" s="1"/>
      <c r="H149" s="1"/>
      <c r="I149" s="1"/>
      <c r="J149" s="1"/>
      <c r="K149" s="1"/>
    </row>
    <row r="150" spans="1:11" ht="24" customHeight="1">
      <c r="A150" s="1"/>
      <c r="B150" s="1"/>
      <c r="C150" s="1"/>
      <c r="D150" s="1"/>
      <c r="E150" s="1"/>
      <c r="F150" s="1"/>
      <c r="G150" s="1"/>
      <c r="H150" s="1"/>
      <c r="I150" s="1"/>
      <c r="J150" s="1"/>
      <c r="K150" s="1"/>
    </row>
  </sheetData>
  <dataValidations count="9">
    <dataValidation type="list" sqref="E11:E16" xr:uid="{00000000-0002-0000-0700-000000000000}">
      <formula1>"Active,Inactive,Removed"</formula1>
    </dataValidation>
    <dataValidation type="list" sqref="F11:F16" xr:uid="{00000000-0002-0000-0700-000001000000}">
      <formula1>"Customer-owned,Sadaf-owned,Rental,Other"</formula1>
    </dataValidation>
    <dataValidation type="list" sqref="H11:H16" xr:uid="{00000000-0002-0000-0700-000002000000}">
      <formula1>"Yes,No,Unknown"</formula1>
    </dataValidation>
    <dataValidation type="decimal" operator="greaterThanOrEqual" sqref="D24:D29 C63:E68 G50:G55 D37:G42" xr:uid="{00000000-0002-0000-0700-000003000000}">
      <formula1>0</formula1>
    </dataValidation>
    <dataValidation type="decimal" sqref="H37:H42" xr:uid="{00000000-0002-0000-0700-000008000000}">
      <formula1>0</formula1>
      <formula2>1</formula2>
    </dataValidation>
    <dataValidation type="list" sqref="D50:D55" xr:uid="{00000000-0002-0000-0700-000009000000}">
      <formula1>"Equipment,Devices,Consumables,Mixed"</formula1>
    </dataValidation>
    <dataValidation type="list" sqref="E50:E55" xr:uid="{00000000-0002-0000-0700-00000A000000}">
      <formula1>"Freight,Urgent freight,Installation,Training,Warranty,Service,Other"</formula1>
    </dataValidation>
    <dataValidation type="list" sqref="F50:F55" xr:uid="{00000000-0002-0000-0700-00000B000000}">
      <formula1>"Actual,Estimate"</formula1>
    </dataValidation>
    <dataValidation type="list" sqref="B63:B68" xr:uid="{00000000-0002-0000-0700-00000D000000}">
      <formula1>"Support responses on time,Documents complete at first review,Oldest critical vacancy days,Open support cases"</formula1>
    </dataValidation>
  </dataValidations>
  <pageMargins left="0.7" right="0.7" top="0.75" bottom="0.75" header="0.3" footer="0.3"/>
  <tableParts count="5">
    <tablePart r:id="rId1"/>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18B42"/>
  </sheetPr>
  <dimension ref="A2:J134"/>
  <sheetViews>
    <sheetView showGridLines="0" workbookViewId="0">
      <pane ySplit="6" topLeftCell="A7" activePane="bottomLeft" state="frozen"/>
      <selection pane="bottomLeft"/>
    </sheetView>
  </sheetViews>
  <sheetFormatPr defaultRowHeight="14.25"/>
  <cols>
    <col min="1" max="1" width="26" customWidth="1"/>
    <col min="2" max="2" width="28" customWidth="1"/>
    <col min="3" max="4" width="22" customWidth="1"/>
    <col min="5" max="9" width="24" customWidth="1"/>
    <col min="10" max="10" width="34" customWidth="1"/>
  </cols>
  <sheetData>
    <row r="2" spans="1:9" ht="33" customHeight="1">
      <c r="A2" s="2" t="s">
        <v>527</v>
      </c>
    </row>
    <row r="4" spans="1:9" ht="24" customHeight="1">
      <c r="A4" s="3" t="s">
        <v>528</v>
      </c>
    </row>
    <row r="5" spans="1:9" ht="24" customHeight="1">
      <c r="A5" s="3" t="s">
        <v>529</v>
      </c>
    </row>
    <row r="7" spans="1:9" ht="30" customHeight="1">
      <c r="A7" s="11" t="s">
        <v>530</v>
      </c>
    </row>
    <row r="8" spans="1:9" ht="24" customHeight="1">
      <c r="A8" s="3" t="s">
        <v>531</v>
      </c>
    </row>
    <row r="9" spans="1:9" ht="24" customHeight="1">
      <c r="A9" s="3" t="s">
        <v>532</v>
      </c>
    </row>
    <row r="10" spans="1:9" ht="57.95" customHeight="1">
      <c r="A10" s="12" t="s">
        <v>411</v>
      </c>
      <c r="B10" s="12" t="s">
        <v>533</v>
      </c>
      <c r="C10" s="12" t="s">
        <v>534</v>
      </c>
      <c r="D10" s="12" t="s">
        <v>535</v>
      </c>
      <c r="E10" s="12" t="s">
        <v>536</v>
      </c>
      <c r="F10" s="12" t="s">
        <v>537</v>
      </c>
      <c r="G10" s="12" t="s">
        <v>538</v>
      </c>
      <c r="H10" s="12" t="s">
        <v>539</v>
      </c>
      <c r="I10" s="12" t="s">
        <v>540</v>
      </c>
    </row>
    <row r="11" spans="1:9" ht="30" customHeight="1">
      <c r="A11" s="13" t="s">
        <v>346</v>
      </c>
      <c r="B11" s="13" t="s">
        <v>541</v>
      </c>
      <c r="C11" s="13" t="s">
        <v>420</v>
      </c>
      <c r="D11" s="13" t="s">
        <v>542</v>
      </c>
      <c r="E11" s="13" t="s">
        <v>543</v>
      </c>
      <c r="F11" s="13" t="s">
        <v>348</v>
      </c>
      <c r="G11" s="31">
        <v>90</v>
      </c>
      <c r="H11" s="32">
        <v>40000</v>
      </c>
      <c r="I11" s="13" t="s">
        <v>464</v>
      </c>
    </row>
    <row r="12" spans="1:9" ht="30" customHeight="1">
      <c r="A12" s="13" t="s">
        <v>351</v>
      </c>
      <c r="B12" s="13" t="s">
        <v>544</v>
      </c>
      <c r="C12" s="13" t="s">
        <v>420</v>
      </c>
      <c r="D12" s="13" t="s">
        <v>542</v>
      </c>
      <c r="E12" s="13" t="s">
        <v>545</v>
      </c>
      <c r="F12" s="13" t="s">
        <v>353</v>
      </c>
      <c r="G12" s="31">
        <v>90</v>
      </c>
      <c r="H12" s="32">
        <v>50000</v>
      </c>
      <c r="I12" s="13" t="s">
        <v>464</v>
      </c>
    </row>
    <row r="13" spans="1:9" ht="30" customHeight="1">
      <c r="A13" s="13" t="s">
        <v>546</v>
      </c>
      <c r="B13" s="13" t="s">
        <v>547</v>
      </c>
      <c r="C13" s="13" t="s">
        <v>548</v>
      </c>
      <c r="D13" s="13" t="s">
        <v>549</v>
      </c>
      <c r="E13" s="13" t="s">
        <v>543</v>
      </c>
      <c r="F13" s="13" t="s">
        <v>550</v>
      </c>
      <c r="G13" s="31">
        <v>45</v>
      </c>
      <c r="H13" s="32">
        <v>10000</v>
      </c>
      <c r="I13" s="13" t="s">
        <v>464</v>
      </c>
    </row>
    <row r="14" spans="1:9" ht="30" customHeight="1">
      <c r="A14" s="9"/>
      <c r="B14" s="9"/>
      <c r="C14" s="9"/>
      <c r="D14" s="9"/>
      <c r="E14" s="9"/>
      <c r="F14" s="9"/>
      <c r="G14" s="33"/>
      <c r="H14" s="34"/>
      <c r="I14" s="9"/>
    </row>
    <row r="15" spans="1:9" ht="30" customHeight="1">
      <c r="A15" s="9"/>
      <c r="B15" s="9"/>
      <c r="C15" s="9"/>
      <c r="D15" s="9"/>
      <c r="E15" s="9"/>
      <c r="F15" s="9"/>
      <c r="G15" s="33"/>
      <c r="H15" s="34"/>
      <c r="I15" s="9"/>
    </row>
    <row r="16" spans="1:9" ht="30" customHeight="1">
      <c r="A16" s="9"/>
      <c r="B16" s="9"/>
      <c r="C16" s="9"/>
      <c r="D16" s="9"/>
      <c r="E16" s="9"/>
      <c r="F16" s="9"/>
      <c r="G16" s="33"/>
      <c r="H16" s="34"/>
      <c r="I16" s="9"/>
    </row>
    <row r="17" spans="1:9" ht="30" customHeight="1">
      <c r="A17" s="9"/>
      <c r="B17" s="9"/>
      <c r="C17" s="9"/>
      <c r="D17" s="9"/>
      <c r="E17" s="9"/>
      <c r="F17" s="9"/>
      <c r="G17" s="33"/>
      <c r="H17" s="34"/>
      <c r="I17" s="9"/>
    </row>
    <row r="18" spans="1:9" ht="30" customHeight="1">
      <c r="A18" s="9"/>
      <c r="B18" s="9"/>
      <c r="C18" s="9"/>
      <c r="D18" s="9"/>
      <c r="E18" s="9"/>
      <c r="F18" s="9"/>
      <c r="G18" s="33"/>
      <c r="H18" s="34"/>
      <c r="I18" s="9"/>
    </row>
    <row r="19" spans="1:9" ht="30" customHeight="1">
      <c r="A19" s="9"/>
      <c r="B19" s="9"/>
      <c r="C19" s="9"/>
      <c r="D19" s="9"/>
      <c r="E19" s="9"/>
      <c r="F19" s="9"/>
      <c r="G19" s="33"/>
      <c r="H19" s="34"/>
      <c r="I19" s="9"/>
    </row>
    <row r="20" spans="1:9" ht="30" customHeight="1">
      <c r="A20" s="9"/>
      <c r="B20" s="9"/>
      <c r="C20" s="9"/>
      <c r="D20" s="9"/>
      <c r="E20" s="9"/>
      <c r="F20" s="9"/>
      <c r="G20" s="33"/>
      <c r="H20" s="34"/>
      <c r="I20" s="9"/>
    </row>
    <row r="21" spans="1:9" ht="30" customHeight="1">
      <c r="A21" s="9"/>
      <c r="B21" s="9"/>
      <c r="C21" s="9"/>
      <c r="D21" s="9"/>
      <c r="E21" s="9"/>
      <c r="F21" s="9"/>
      <c r="G21" s="33"/>
      <c r="H21" s="34"/>
      <c r="I21" s="9"/>
    </row>
    <row r="22" spans="1:9" ht="30" customHeight="1">
      <c r="A22" s="9"/>
      <c r="B22" s="9"/>
      <c r="C22" s="9"/>
      <c r="D22" s="9"/>
      <c r="E22" s="9"/>
      <c r="F22" s="9"/>
      <c r="G22" s="33"/>
      <c r="H22" s="34"/>
      <c r="I22" s="9"/>
    </row>
    <row r="23" spans="1:9" ht="30" customHeight="1">
      <c r="A23" s="9"/>
      <c r="B23" s="9"/>
      <c r="C23" s="9"/>
      <c r="D23" s="9"/>
      <c r="E23" s="9"/>
      <c r="F23" s="9"/>
      <c r="G23" s="33"/>
      <c r="H23" s="34"/>
      <c r="I23" s="9"/>
    </row>
    <row r="24" spans="1:9" ht="30" customHeight="1">
      <c r="A24" s="9"/>
      <c r="B24" s="9"/>
      <c r="C24" s="9"/>
      <c r="D24" s="9"/>
      <c r="E24" s="9"/>
      <c r="F24" s="9"/>
      <c r="G24" s="33"/>
      <c r="H24" s="34"/>
      <c r="I24" s="9"/>
    </row>
    <row r="25" spans="1:9" ht="30" customHeight="1">
      <c r="A25" s="9"/>
      <c r="B25" s="9"/>
      <c r="C25" s="9"/>
      <c r="D25" s="9"/>
      <c r="E25" s="9"/>
      <c r="F25" s="9"/>
      <c r="G25" s="33"/>
      <c r="H25" s="34"/>
      <c r="I25" s="9"/>
    </row>
    <row r="26" spans="1:9" ht="30" customHeight="1">
      <c r="A26" s="9"/>
      <c r="B26" s="9"/>
      <c r="C26" s="9"/>
      <c r="D26" s="9"/>
      <c r="E26" s="9"/>
      <c r="F26" s="9"/>
      <c r="G26" s="33"/>
      <c r="H26" s="34"/>
      <c r="I26" s="9"/>
    </row>
    <row r="27" spans="1:9" ht="30" customHeight="1">
      <c r="A27" s="9"/>
      <c r="B27" s="9"/>
      <c r="C27" s="9"/>
      <c r="D27" s="9"/>
      <c r="E27" s="9"/>
      <c r="F27" s="9"/>
      <c r="G27" s="33"/>
      <c r="H27" s="34"/>
      <c r="I27" s="9"/>
    </row>
    <row r="28" spans="1:9" ht="30" customHeight="1">
      <c r="A28" s="9"/>
      <c r="B28" s="9"/>
      <c r="C28" s="9"/>
      <c r="D28" s="9"/>
      <c r="E28" s="9"/>
      <c r="F28" s="9"/>
      <c r="G28" s="33"/>
      <c r="H28" s="34"/>
      <c r="I28" s="9"/>
    </row>
    <row r="29" spans="1:9" ht="30" customHeight="1">
      <c r="A29" s="9"/>
      <c r="B29" s="9"/>
      <c r="C29" s="9"/>
      <c r="D29" s="9"/>
      <c r="E29" s="9"/>
      <c r="F29" s="9"/>
      <c r="G29" s="33"/>
      <c r="H29" s="34"/>
      <c r="I29" s="9"/>
    </row>
    <row r="30" spans="1:9" ht="30" customHeight="1">
      <c r="A30" s="9"/>
      <c r="B30" s="9"/>
      <c r="C30" s="9"/>
      <c r="D30" s="9"/>
      <c r="E30" s="9"/>
      <c r="F30" s="9"/>
      <c r="G30" s="33"/>
      <c r="H30" s="34"/>
      <c r="I30" s="9"/>
    </row>
    <row r="31" spans="1:9" ht="30" customHeight="1">
      <c r="A31" s="9"/>
      <c r="B31" s="9"/>
      <c r="C31" s="9"/>
      <c r="D31" s="9"/>
      <c r="E31" s="9"/>
      <c r="F31" s="9"/>
      <c r="G31" s="33"/>
      <c r="H31" s="34"/>
      <c r="I31" s="9"/>
    </row>
    <row r="32" spans="1:9" ht="30" customHeight="1">
      <c r="A32" s="9"/>
      <c r="B32" s="9"/>
      <c r="C32" s="9"/>
      <c r="D32" s="9"/>
      <c r="E32" s="9"/>
      <c r="F32" s="9"/>
      <c r="G32" s="33"/>
      <c r="H32" s="34"/>
      <c r="I32" s="9"/>
    </row>
    <row r="33" spans="1:9" ht="30" customHeight="1">
      <c r="A33" s="9"/>
      <c r="B33" s="9"/>
      <c r="C33" s="9"/>
      <c r="D33" s="9"/>
      <c r="E33" s="9"/>
      <c r="F33" s="9"/>
      <c r="G33" s="33"/>
      <c r="H33" s="34"/>
      <c r="I33" s="9"/>
    </row>
    <row r="34" spans="1:9" ht="30" customHeight="1">
      <c r="A34" s="9"/>
      <c r="B34" s="9"/>
      <c r="C34" s="9"/>
      <c r="D34" s="9"/>
      <c r="E34" s="9"/>
      <c r="F34" s="9"/>
      <c r="G34" s="33"/>
      <c r="H34" s="34"/>
      <c r="I34" s="9"/>
    </row>
    <row r="35" spans="1:9" ht="30" customHeight="1">
      <c r="A35" s="9"/>
      <c r="B35" s="9"/>
      <c r="C35" s="9"/>
      <c r="D35" s="9"/>
      <c r="E35" s="9"/>
      <c r="F35" s="9"/>
      <c r="G35" s="33"/>
      <c r="H35" s="34"/>
      <c r="I35" s="9"/>
    </row>
    <row r="36" spans="1:9" ht="30" customHeight="1">
      <c r="A36" s="9"/>
      <c r="B36" s="9"/>
      <c r="C36" s="9"/>
      <c r="D36" s="9"/>
      <c r="E36" s="9"/>
      <c r="F36" s="9"/>
      <c r="G36" s="33"/>
      <c r="H36" s="34"/>
      <c r="I36" s="9"/>
    </row>
    <row r="37" spans="1:9" ht="30" customHeight="1">
      <c r="A37" s="9"/>
      <c r="B37" s="9"/>
      <c r="C37" s="9"/>
      <c r="D37" s="9"/>
      <c r="E37" s="9"/>
      <c r="F37" s="9"/>
      <c r="G37" s="33"/>
      <c r="H37" s="34"/>
      <c r="I37" s="9"/>
    </row>
    <row r="38" spans="1:9" ht="30" customHeight="1">
      <c r="A38" s="9"/>
      <c r="B38" s="9"/>
      <c r="C38" s="9"/>
      <c r="D38" s="9"/>
      <c r="E38" s="9"/>
      <c r="F38" s="9"/>
      <c r="G38" s="33"/>
      <c r="H38" s="34"/>
      <c r="I38" s="9"/>
    </row>
    <row r="39" spans="1:9" ht="30" customHeight="1">
      <c r="A39" s="9"/>
      <c r="B39" s="9"/>
      <c r="C39" s="9"/>
      <c r="D39" s="9"/>
      <c r="E39" s="9"/>
      <c r="F39" s="9"/>
      <c r="G39" s="33"/>
      <c r="H39" s="34"/>
      <c r="I39" s="9"/>
    </row>
    <row r="40" spans="1:9" ht="30" customHeight="1">
      <c r="A40" s="9"/>
      <c r="B40" s="9"/>
      <c r="C40" s="9"/>
      <c r="D40" s="9"/>
      <c r="E40" s="9"/>
      <c r="F40" s="9"/>
      <c r="G40" s="33"/>
      <c r="H40" s="34"/>
      <c r="I40" s="9"/>
    </row>
    <row r="44" spans="1:9" ht="30" customHeight="1">
      <c r="A44" s="11" t="s">
        <v>551</v>
      </c>
    </row>
    <row r="45" spans="1:9" ht="24" customHeight="1">
      <c r="A45" s="3" t="s">
        <v>552</v>
      </c>
    </row>
    <row r="46" spans="1:9" ht="24" customHeight="1">
      <c r="A46" s="3" t="s">
        <v>553</v>
      </c>
    </row>
    <row r="47" spans="1:9" ht="57.95" customHeight="1">
      <c r="A47" s="12" t="s">
        <v>554</v>
      </c>
      <c r="B47" s="12" t="s">
        <v>411</v>
      </c>
      <c r="C47" s="12" t="s">
        <v>382</v>
      </c>
      <c r="D47" s="12" t="s">
        <v>555</v>
      </c>
      <c r="E47" s="12" t="s">
        <v>556</v>
      </c>
      <c r="F47" s="12" t="s">
        <v>394</v>
      </c>
    </row>
    <row r="48" spans="1:9" ht="30" customHeight="1">
      <c r="A48" s="14">
        <v>46266</v>
      </c>
      <c r="B48" s="13" t="s">
        <v>346</v>
      </c>
      <c r="C48" s="32">
        <v>110000</v>
      </c>
      <c r="D48" s="32">
        <v>100000</v>
      </c>
      <c r="E48" s="32">
        <v>22000</v>
      </c>
      <c r="F48" s="13" t="s">
        <v>557</v>
      </c>
    </row>
    <row r="49" spans="1:6" ht="30" customHeight="1">
      <c r="A49" s="14">
        <v>46266</v>
      </c>
      <c r="B49" s="13" t="s">
        <v>351</v>
      </c>
      <c r="C49" s="32">
        <v>90000</v>
      </c>
      <c r="D49" s="32">
        <v>85000</v>
      </c>
      <c r="E49" s="32">
        <v>20000</v>
      </c>
      <c r="F49" s="13" t="s">
        <v>557</v>
      </c>
    </row>
    <row r="50" spans="1:6" ht="30" customHeight="1">
      <c r="A50" s="14">
        <v>46266</v>
      </c>
      <c r="B50" s="13" t="s">
        <v>546</v>
      </c>
      <c r="C50" s="32">
        <v>65000</v>
      </c>
      <c r="D50" s="32">
        <v>66000</v>
      </c>
      <c r="E50" s="32">
        <v>25000</v>
      </c>
      <c r="F50" s="13" t="s">
        <v>557</v>
      </c>
    </row>
    <row r="51" spans="1:6" ht="30" customHeight="1">
      <c r="A51" s="15"/>
      <c r="B51" s="9"/>
      <c r="C51" s="34"/>
      <c r="D51" s="34"/>
      <c r="E51" s="34"/>
      <c r="F51" s="9"/>
    </row>
    <row r="52" spans="1:6" ht="30" customHeight="1">
      <c r="A52" s="15"/>
      <c r="B52" s="9"/>
      <c r="C52" s="34"/>
      <c r="D52" s="34"/>
      <c r="E52" s="34"/>
      <c r="F52" s="9"/>
    </row>
    <row r="53" spans="1:6" ht="30" customHeight="1">
      <c r="A53" s="15"/>
      <c r="B53" s="9"/>
      <c r="C53" s="34"/>
      <c r="D53" s="34"/>
      <c r="E53" s="34"/>
      <c r="F53" s="9"/>
    </row>
    <row r="54" spans="1:6" ht="30" customHeight="1">
      <c r="A54" s="15"/>
      <c r="B54" s="9"/>
      <c r="C54" s="34"/>
      <c r="D54" s="34"/>
      <c r="E54" s="34"/>
      <c r="F54" s="9"/>
    </row>
    <row r="55" spans="1:6" ht="30" customHeight="1">
      <c r="A55" s="15"/>
      <c r="B55" s="9"/>
      <c r="C55" s="34"/>
      <c r="D55" s="34"/>
      <c r="E55" s="34"/>
      <c r="F55" s="9"/>
    </row>
    <row r="56" spans="1:6" ht="30" customHeight="1">
      <c r="A56" s="15"/>
      <c r="B56" s="9"/>
      <c r="C56" s="34"/>
      <c r="D56" s="34"/>
      <c r="E56" s="34"/>
      <c r="F56" s="9"/>
    </row>
    <row r="57" spans="1:6" ht="30" customHeight="1">
      <c r="A57" s="15"/>
      <c r="B57" s="9"/>
      <c r="C57" s="34"/>
      <c r="D57" s="34"/>
      <c r="E57" s="34"/>
      <c r="F57" s="9"/>
    </row>
    <row r="58" spans="1:6" ht="30" customHeight="1">
      <c r="A58" s="15"/>
      <c r="B58" s="9"/>
      <c r="C58" s="34"/>
      <c r="D58" s="34"/>
      <c r="E58" s="34"/>
      <c r="F58" s="9"/>
    </row>
    <row r="59" spans="1:6" ht="30" customHeight="1">
      <c r="A59" s="15"/>
      <c r="B59" s="9"/>
      <c r="C59" s="34"/>
      <c r="D59" s="34"/>
      <c r="E59" s="34"/>
      <c r="F59" s="9"/>
    </row>
    <row r="60" spans="1:6" ht="30" customHeight="1">
      <c r="A60" s="15"/>
      <c r="B60" s="9"/>
      <c r="C60" s="34"/>
      <c r="D60" s="34"/>
      <c r="E60" s="34"/>
      <c r="F60" s="9"/>
    </row>
    <row r="61" spans="1:6" ht="30" customHeight="1">
      <c r="A61" s="15"/>
      <c r="B61" s="9"/>
      <c r="C61" s="34"/>
      <c r="D61" s="34"/>
      <c r="E61" s="34"/>
      <c r="F61" s="9"/>
    </row>
    <row r="62" spans="1:6" ht="30" customHeight="1">
      <c r="A62" s="15"/>
      <c r="B62" s="9"/>
      <c r="C62" s="34"/>
      <c r="D62" s="34"/>
      <c r="E62" s="34"/>
      <c r="F62" s="9"/>
    </row>
    <row r="63" spans="1:6" ht="30" customHeight="1">
      <c r="A63" s="15"/>
      <c r="B63" s="9"/>
      <c r="C63" s="34"/>
      <c r="D63" s="34"/>
      <c r="E63" s="34"/>
      <c r="F63" s="9"/>
    </row>
    <row r="64" spans="1:6" ht="30" customHeight="1">
      <c r="A64" s="15"/>
      <c r="B64" s="9"/>
      <c r="C64" s="34"/>
      <c r="D64" s="34"/>
      <c r="E64" s="34"/>
      <c r="F64" s="9"/>
    </row>
    <row r="65" spans="1:6" ht="30" customHeight="1">
      <c r="A65" s="15"/>
      <c r="B65" s="9"/>
      <c r="C65" s="34"/>
      <c r="D65" s="34"/>
      <c r="E65" s="34"/>
      <c r="F65" s="9"/>
    </row>
    <row r="66" spans="1:6" ht="30" customHeight="1">
      <c r="A66" s="15"/>
      <c r="B66" s="9"/>
      <c r="C66" s="34"/>
      <c r="D66" s="34"/>
      <c r="E66" s="34"/>
      <c r="F66" s="9"/>
    </row>
    <row r="67" spans="1:6" ht="30" customHeight="1">
      <c r="A67" s="15"/>
      <c r="B67" s="9"/>
      <c r="C67" s="34"/>
      <c r="D67" s="34"/>
      <c r="E67" s="34"/>
      <c r="F67" s="9"/>
    </row>
    <row r="68" spans="1:6" ht="30" customHeight="1">
      <c r="A68" s="15"/>
      <c r="B68" s="9"/>
      <c r="C68" s="34"/>
      <c r="D68" s="34"/>
      <c r="E68" s="34"/>
      <c r="F68" s="9"/>
    </row>
    <row r="69" spans="1:6" ht="30" customHeight="1">
      <c r="A69" s="15"/>
      <c r="B69" s="9"/>
      <c r="C69" s="34"/>
      <c r="D69" s="34"/>
      <c r="E69" s="34"/>
      <c r="F69" s="9"/>
    </row>
    <row r="70" spans="1:6" ht="30" customHeight="1">
      <c r="A70" s="15"/>
      <c r="B70" s="9"/>
      <c r="C70" s="34"/>
      <c r="D70" s="34"/>
      <c r="E70" s="34"/>
      <c r="F70" s="9"/>
    </row>
    <row r="71" spans="1:6" ht="30" customHeight="1">
      <c r="A71" s="15"/>
      <c r="B71" s="9"/>
      <c r="C71" s="34"/>
      <c r="D71" s="34"/>
      <c r="E71" s="34"/>
      <c r="F71" s="9"/>
    </row>
    <row r="72" spans="1:6" ht="30" customHeight="1">
      <c r="A72" s="15"/>
      <c r="B72" s="9"/>
      <c r="C72" s="34"/>
      <c r="D72" s="34"/>
      <c r="E72" s="34"/>
      <c r="F72" s="9"/>
    </row>
    <row r="73" spans="1:6" ht="30" customHeight="1">
      <c r="A73" s="15"/>
      <c r="B73" s="9"/>
      <c r="C73" s="34"/>
      <c r="D73" s="34"/>
      <c r="E73" s="34"/>
      <c r="F73" s="9"/>
    </row>
    <row r="74" spans="1:6" ht="30" customHeight="1">
      <c r="A74" s="15"/>
      <c r="B74" s="9"/>
      <c r="C74" s="34"/>
      <c r="D74" s="34"/>
      <c r="E74" s="34"/>
      <c r="F74" s="9"/>
    </row>
    <row r="75" spans="1:6" ht="30" customHeight="1">
      <c r="A75" s="15"/>
      <c r="B75" s="9"/>
      <c r="C75" s="34"/>
      <c r="D75" s="34"/>
      <c r="E75" s="34"/>
      <c r="F75" s="9"/>
    </row>
    <row r="76" spans="1:6" ht="30" customHeight="1">
      <c r="A76" s="15"/>
      <c r="B76" s="9"/>
      <c r="C76" s="34"/>
      <c r="D76" s="34"/>
      <c r="E76" s="34"/>
      <c r="F76" s="9"/>
    </row>
    <row r="77" spans="1:6" ht="30" customHeight="1">
      <c r="A77" s="15"/>
      <c r="B77" s="9"/>
      <c r="C77" s="34"/>
      <c r="D77" s="34"/>
      <c r="E77" s="34"/>
      <c r="F77" s="9"/>
    </row>
    <row r="81" spans="1:10" ht="30" customHeight="1">
      <c r="A81" s="11" t="s">
        <v>558</v>
      </c>
    </row>
    <row r="82" spans="1:10" ht="24" customHeight="1">
      <c r="A82" s="3" t="s">
        <v>559</v>
      </c>
    </row>
    <row r="83" spans="1:10" ht="24" customHeight="1">
      <c r="A83" s="3" t="s">
        <v>560</v>
      </c>
    </row>
    <row r="84" spans="1:10" ht="57.95" customHeight="1">
      <c r="A84" s="12" t="s">
        <v>561</v>
      </c>
      <c r="B84" s="12" t="s">
        <v>562</v>
      </c>
      <c r="C84" s="12" t="s">
        <v>563</v>
      </c>
      <c r="D84" s="12" t="s">
        <v>564</v>
      </c>
      <c r="E84" s="12" t="s">
        <v>565</v>
      </c>
      <c r="F84" s="12" t="s">
        <v>566</v>
      </c>
      <c r="G84" s="12" t="s">
        <v>567</v>
      </c>
      <c r="H84" s="12" t="s">
        <v>568</v>
      </c>
      <c r="I84" s="12" t="s">
        <v>569</v>
      </c>
      <c r="J84" s="12" t="s">
        <v>570</v>
      </c>
    </row>
    <row r="85" spans="1:10" ht="30" customHeight="1">
      <c r="A85" s="13" t="s">
        <v>419</v>
      </c>
      <c r="B85" s="13" t="s">
        <v>571</v>
      </c>
      <c r="C85" s="14">
        <v>46218</v>
      </c>
      <c r="D85" s="31">
        <v>100</v>
      </c>
      <c r="E85" s="32">
        <v>24000</v>
      </c>
      <c r="F85" s="32">
        <v>16800</v>
      </c>
      <c r="G85" s="13" t="s">
        <v>572</v>
      </c>
      <c r="H85" s="32">
        <v>2400</v>
      </c>
      <c r="I85" s="14">
        <v>46366</v>
      </c>
      <c r="J85" s="13" t="s">
        <v>573</v>
      </c>
    </row>
    <row r="86" spans="1:10" ht="30" customHeight="1">
      <c r="A86" s="13" t="s">
        <v>424</v>
      </c>
      <c r="B86" s="13" t="s">
        <v>574</v>
      </c>
      <c r="C86" s="14">
        <v>46233</v>
      </c>
      <c r="D86" s="31">
        <v>100</v>
      </c>
      <c r="E86" s="32">
        <v>30000</v>
      </c>
      <c r="F86" s="32">
        <v>21000</v>
      </c>
      <c r="G86" s="13" t="s">
        <v>572</v>
      </c>
      <c r="H86" s="32">
        <v>3000</v>
      </c>
      <c r="I86" s="14">
        <v>46446</v>
      </c>
      <c r="J86" s="13" t="s">
        <v>573</v>
      </c>
    </row>
    <row r="87" spans="1:10" ht="30" customHeight="1">
      <c r="A87" s="9"/>
      <c r="B87" s="9"/>
      <c r="C87" s="15"/>
      <c r="D87" s="33"/>
      <c r="E87" s="34"/>
      <c r="F87" s="34"/>
      <c r="G87" s="9"/>
      <c r="H87" s="34"/>
      <c r="I87" s="15"/>
      <c r="J87" s="9"/>
    </row>
    <row r="88" spans="1:10" ht="30" customHeight="1">
      <c r="A88" s="9"/>
      <c r="B88" s="9"/>
      <c r="C88" s="15"/>
      <c r="D88" s="33"/>
      <c r="E88" s="34"/>
      <c r="F88" s="34"/>
      <c r="G88" s="9"/>
      <c r="H88" s="34"/>
      <c r="I88" s="15"/>
      <c r="J88" s="9"/>
    </row>
    <row r="89" spans="1:10" ht="30" customHeight="1">
      <c r="A89" s="9"/>
      <c r="B89" s="9"/>
      <c r="C89" s="15"/>
      <c r="D89" s="33"/>
      <c r="E89" s="34"/>
      <c r="F89" s="34"/>
      <c r="G89" s="9"/>
      <c r="H89" s="34"/>
      <c r="I89" s="15"/>
      <c r="J89" s="9"/>
    </row>
    <row r="90" spans="1:10" ht="30" customHeight="1">
      <c r="A90" s="9"/>
      <c r="B90" s="9"/>
      <c r="C90" s="15"/>
      <c r="D90" s="33"/>
      <c r="E90" s="34"/>
      <c r="F90" s="34"/>
      <c r="G90" s="9"/>
      <c r="H90" s="34"/>
      <c r="I90" s="15"/>
      <c r="J90" s="9"/>
    </row>
    <row r="91" spans="1:10" ht="30" customHeight="1">
      <c r="A91" s="9"/>
      <c r="B91" s="9"/>
      <c r="C91" s="15"/>
      <c r="D91" s="33"/>
      <c r="E91" s="34"/>
      <c r="F91" s="34"/>
      <c r="G91" s="9"/>
      <c r="H91" s="34"/>
      <c r="I91" s="15"/>
      <c r="J91" s="9"/>
    </row>
    <row r="92" spans="1:10" ht="30" customHeight="1">
      <c r="A92" s="9"/>
      <c r="B92" s="9"/>
      <c r="C92" s="15"/>
      <c r="D92" s="33"/>
      <c r="E92" s="34"/>
      <c r="F92" s="34"/>
      <c r="G92" s="9"/>
      <c r="H92" s="34"/>
      <c r="I92" s="15"/>
      <c r="J92" s="9"/>
    </row>
    <row r="93" spans="1:10" ht="30" customHeight="1">
      <c r="A93" s="9"/>
      <c r="B93" s="9"/>
      <c r="C93" s="15"/>
      <c r="D93" s="33"/>
      <c r="E93" s="34"/>
      <c r="F93" s="34"/>
      <c r="G93" s="9"/>
      <c r="H93" s="34"/>
      <c r="I93" s="15"/>
      <c r="J93" s="9"/>
    </row>
    <row r="94" spans="1:10" ht="30" customHeight="1">
      <c r="A94" s="9"/>
      <c r="B94" s="9"/>
      <c r="C94" s="15"/>
      <c r="D94" s="33"/>
      <c r="E94" s="34"/>
      <c r="F94" s="34"/>
      <c r="G94" s="9"/>
      <c r="H94" s="34"/>
      <c r="I94" s="15"/>
      <c r="J94" s="9"/>
    </row>
    <row r="95" spans="1:10" ht="30" customHeight="1">
      <c r="A95" s="9"/>
      <c r="B95" s="9"/>
      <c r="C95" s="15"/>
      <c r="D95" s="33"/>
      <c r="E95" s="34"/>
      <c r="F95" s="34"/>
      <c r="G95" s="9"/>
      <c r="H95" s="34"/>
      <c r="I95" s="15"/>
      <c r="J95" s="9"/>
    </row>
    <row r="96" spans="1:10" ht="30" customHeight="1">
      <c r="A96" s="9"/>
      <c r="B96" s="9"/>
      <c r="C96" s="15"/>
      <c r="D96" s="33"/>
      <c r="E96" s="34"/>
      <c r="F96" s="34"/>
      <c r="G96" s="9"/>
      <c r="H96" s="34"/>
      <c r="I96" s="15"/>
      <c r="J96" s="9"/>
    </row>
    <row r="97" spans="1:10" ht="30" customHeight="1">
      <c r="A97" s="9"/>
      <c r="B97" s="9"/>
      <c r="C97" s="15"/>
      <c r="D97" s="33"/>
      <c r="E97" s="34"/>
      <c r="F97" s="34"/>
      <c r="G97" s="9"/>
      <c r="H97" s="34"/>
      <c r="I97" s="15"/>
      <c r="J97" s="9"/>
    </row>
    <row r="98" spans="1:10" ht="30" customHeight="1">
      <c r="A98" s="9"/>
      <c r="B98" s="9"/>
      <c r="C98" s="15"/>
      <c r="D98" s="33"/>
      <c r="E98" s="34"/>
      <c r="F98" s="34"/>
      <c r="G98" s="9"/>
      <c r="H98" s="34"/>
      <c r="I98" s="15"/>
      <c r="J98" s="9"/>
    </row>
    <row r="99" spans="1:10" ht="30" customHeight="1">
      <c r="A99" s="9"/>
      <c r="B99" s="9"/>
      <c r="C99" s="15"/>
      <c r="D99" s="33"/>
      <c r="E99" s="34"/>
      <c r="F99" s="34"/>
      <c r="G99" s="9"/>
      <c r="H99" s="34"/>
      <c r="I99" s="15"/>
      <c r="J99" s="9"/>
    </row>
    <row r="100" spans="1:10" ht="30" customHeight="1">
      <c r="A100" s="9"/>
      <c r="B100" s="9"/>
      <c r="C100" s="15"/>
      <c r="D100" s="33"/>
      <c r="E100" s="34"/>
      <c r="F100" s="34"/>
      <c r="G100" s="9"/>
      <c r="H100" s="34"/>
      <c r="I100" s="15"/>
      <c r="J100" s="9"/>
    </row>
    <row r="101" spans="1:10" ht="30" customHeight="1">
      <c r="A101" s="9"/>
      <c r="B101" s="9"/>
      <c r="C101" s="15"/>
      <c r="D101" s="33"/>
      <c r="E101" s="34"/>
      <c r="F101" s="34"/>
      <c r="G101" s="9"/>
      <c r="H101" s="34"/>
      <c r="I101" s="15"/>
      <c r="J101" s="9"/>
    </row>
    <row r="102" spans="1:10" ht="30" customHeight="1">
      <c r="A102" s="9"/>
      <c r="B102" s="9"/>
      <c r="C102" s="15"/>
      <c r="D102" s="33"/>
      <c r="E102" s="34"/>
      <c r="F102" s="34"/>
      <c r="G102" s="9"/>
      <c r="H102" s="34"/>
      <c r="I102" s="15"/>
      <c r="J102" s="9"/>
    </row>
    <row r="103" spans="1:10" ht="30" customHeight="1">
      <c r="A103" s="9"/>
      <c r="B103" s="9"/>
      <c r="C103" s="15"/>
      <c r="D103" s="33"/>
      <c r="E103" s="34"/>
      <c r="F103" s="34"/>
      <c r="G103" s="9"/>
      <c r="H103" s="34"/>
      <c r="I103" s="15"/>
      <c r="J103" s="9"/>
    </row>
    <row r="104" spans="1:10" ht="30" customHeight="1">
      <c r="A104" s="9"/>
      <c r="B104" s="9"/>
      <c r="C104" s="15"/>
      <c r="D104" s="33"/>
      <c r="E104" s="34"/>
      <c r="F104" s="34"/>
      <c r="G104" s="9"/>
      <c r="H104" s="34"/>
      <c r="I104" s="15"/>
      <c r="J104" s="9"/>
    </row>
    <row r="105" spans="1:10" ht="30" customHeight="1">
      <c r="A105" s="9"/>
      <c r="B105" s="9"/>
      <c r="C105" s="15"/>
      <c r="D105" s="33"/>
      <c r="E105" s="34"/>
      <c r="F105" s="34"/>
      <c r="G105" s="9"/>
      <c r="H105" s="34"/>
      <c r="I105" s="15"/>
      <c r="J105" s="9"/>
    </row>
    <row r="106" spans="1:10" ht="30" customHeight="1">
      <c r="A106" s="9"/>
      <c r="B106" s="9"/>
      <c r="C106" s="15"/>
      <c r="D106" s="33"/>
      <c r="E106" s="34"/>
      <c r="F106" s="34"/>
      <c r="G106" s="9"/>
      <c r="H106" s="34"/>
      <c r="I106" s="15"/>
      <c r="J106" s="9"/>
    </row>
    <row r="107" spans="1:10" ht="30" customHeight="1">
      <c r="A107" s="9"/>
      <c r="B107" s="9"/>
      <c r="C107" s="15"/>
      <c r="D107" s="33"/>
      <c r="E107" s="34"/>
      <c r="F107" s="34"/>
      <c r="G107" s="9"/>
      <c r="H107" s="34"/>
      <c r="I107" s="15"/>
      <c r="J107" s="9"/>
    </row>
    <row r="108" spans="1:10" ht="30" customHeight="1">
      <c r="A108" s="9"/>
      <c r="B108" s="9"/>
      <c r="C108" s="15"/>
      <c r="D108" s="33"/>
      <c r="E108" s="34"/>
      <c r="F108" s="34"/>
      <c r="G108" s="9"/>
      <c r="H108" s="34"/>
      <c r="I108" s="15"/>
      <c r="J108" s="9"/>
    </row>
    <row r="109" spans="1:10" ht="30" customHeight="1">
      <c r="A109" s="9"/>
      <c r="B109" s="9"/>
      <c r="C109" s="15"/>
      <c r="D109" s="33"/>
      <c r="E109" s="34"/>
      <c r="F109" s="34"/>
      <c r="G109" s="9"/>
      <c r="H109" s="34"/>
      <c r="I109" s="15"/>
      <c r="J109" s="9"/>
    </row>
    <row r="110" spans="1:10" ht="30" customHeight="1">
      <c r="A110" s="9"/>
      <c r="B110" s="9"/>
      <c r="C110" s="15"/>
      <c r="D110" s="33"/>
      <c r="E110" s="34"/>
      <c r="F110" s="34"/>
      <c r="G110" s="9"/>
      <c r="H110" s="34"/>
      <c r="I110" s="15"/>
      <c r="J110" s="9"/>
    </row>
    <row r="111" spans="1:10" ht="30" customHeight="1">
      <c r="A111" s="9"/>
      <c r="B111" s="9"/>
      <c r="C111" s="15"/>
      <c r="D111" s="33"/>
      <c r="E111" s="34"/>
      <c r="F111" s="34"/>
      <c r="G111" s="9"/>
      <c r="H111" s="34"/>
      <c r="I111" s="15"/>
      <c r="J111" s="9"/>
    </row>
    <row r="112" spans="1:10" ht="30" customHeight="1">
      <c r="A112" s="9"/>
      <c r="B112" s="9"/>
      <c r="C112" s="15"/>
      <c r="D112" s="33"/>
      <c r="E112" s="34"/>
      <c r="F112" s="34"/>
      <c r="G112" s="9"/>
      <c r="H112" s="34"/>
      <c r="I112" s="15"/>
      <c r="J112" s="9"/>
    </row>
    <row r="113" spans="1:10" ht="30" customHeight="1">
      <c r="A113" s="9"/>
      <c r="B113" s="9"/>
      <c r="C113" s="15"/>
      <c r="D113" s="33"/>
      <c r="E113" s="34"/>
      <c r="F113" s="34"/>
      <c r="G113" s="9"/>
      <c r="H113" s="34"/>
      <c r="I113" s="15"/>
      <c r="J113" s="9"/>
    </row>
    <row r="114" spans="1:10" ht="30" customHeight="1">
      <c r="A114" s="9"/>
      <c r="B114" s="9"/>
      <c r="C114" s="15"/>
      <c r="D114" s="33"/>
      <c r="E114" s="34"/>
      <c r="F114" s="34"/>
      <c r="G114" s="9"/>
      <c r="H114" s="34"/>
      <c r="I114" s="15"/>
      <c r="J114" s="9"/>
    </row>
    <row r="118" spans="1:10" ht="30" customHeight="1">
      <c r="A118" s="11" t="s">
        <v>575</v>
      </c>
    </row>
    <row r="119" spans="1:10" ht="24" customHeight="1">
      <c r="A119" s="3" t="s">
        <v>576</v>
      </c>
    </row>
    <row r="120" spans="1:10" ht="24" customHeight="1">
      <c r="A120" s="3" t="s">
        <v>577</v>
      </c>
    </row>
    <row r="121" spans="1:10" ht="57.95" customHeight="1">
      <c r="A121" s="12" t="s">
        <v>554</v>
      </c>
      <c r="B121" s="12" t="s">
        <v>578</v>
      </c>
      <c r="C121" s="12" t="s">
        <v>573</v>
      </c>
      <c r="D121" s="12" t="s">
        <v>579</v>
      </c>
      <c r="E121" s="12" t="s">
        <v>580</v>
      </c>
      <c r="F121" s="12" t="s">
        <v>581</v>
      </c>
      <c r="G121" s="12" t="s">
        <v>582</v>
      </c>
      <c r="H121" s="12" t="s">
        <v>583</v>
      </c>
    </row>
    <row r="122" spans="1:10" ht="30" customHeight="1">
      <c r="A122" s="14">
        <v>46266</v>
      </c>
      <c r="B122" s="31">
        <v>14</v>
      </c>
      <c r="C122" s="31">
        <v>6</v>
      </c>
      <c r="D122" s="31">
        <v>5</v>
      </c>
      <c r="E122" s="31">
        <v>3</v>
      </c>
      <c r="F122" s="32">
        <v>3900000</v>
      </c>
      <c r="G122" s="32">
        <v>1650000</v>
      </c>
      <c r="H122" s="13" t="str">
        <f t="shared" ref="H122:H127" si="0">IF(B122="","",IF(B122=C122+D122+E122,"OK","Counts do not add up"))</f>
        <v>OK</v>
      </c>
    </row>
    <row r="123" spans="1:10" ht="30" customHeight="1">
      <c r="A123" s="15"/>
      <c r="B123" s="33"/>
      <c r="C123" s="33"/>
      <c r="D123" s="33"/>
      <c r="E123" s="33"/>
      <c r="F123" s="34"/>
      <c r="G123" s="34"/>
      <c r="H123" s="9" t="str">
        <f t="shared" si="0"/>
        <v/>
      </c>
    </row>
    <row r="124" spans="1:10" ht="30" customHeight="1">
      <c r="A124" s="15"/>
      <c r="B124" s="33"/>
      <c r="C124" s="33"/>
      <c r="D124" s="33"/>
      <c r="E124" s="33"/>
      <c r="F124" s="34"/>
      <c r="G124" s="34"/>
      <c r="H124" s="9" t="str">
        <f t="shared" si="0"/>
        <v/>
      </c>
    </row>
    <row r="125" spans="1:10" ht="30" customHeight="1">
      <c r="A125" s="15"/>
      <c r="B125" s="33"/>
      <c r="C125" s="33"/>
      <c r="D125" s="33"/>
      <c r="E125" s="33"/>
      <c r="F125" s="34"/>
      <c r="G125" s="34"/>
      <c r="H125" s="9" t="str">
        <f t="shared" si="0"/>
        <v/>
      </c>
    </row>
    <row r="126" spans="1:10" ht="30" customHeight="1">
      <c r="A126" s="15"/>
      <c r="B126" s="33"/>
      <c r="C126" s="33"/>
      <c r="D126" s="33"/>
      <c r="E126" s="33"/>
      <c r="F126" s="34"/>
      <c r="G126" s="34"/>
      <c r="H126" s="9" t="str">
        <f t="shared" si="0"/>
        <v/>
      </c>
    </row>
    <row r="127" spans="1:10" ht="30" customHeight="1">
      <c r="A127" s="15"/>
      <c r="B127" s="33"/>
      <c r="C127" s="33"/>
      <c r="D127" s="33"/>
      <c r="E127" s="33"/>
      <c r="F127" s="34"/>
      <c r="G127" s="34"/>
      <c r="H127" s="9" t="str">
        <f t="shared" si="0"/>
        <v/>
      </c>
    </row>
    <row r="130" spans="1:1" ht="30" customHeight="1">
      <c r="A130" s="3" t="s">
        <v>584</v>
      </c>
    </row>
    <row r="131" spans="1:1" ht="30" customHeight="1">
      <c r="A131" s="3" t="s">
        <v>585</v>
      </c>
    </row>
    <row r="132" spans="1:1" ht="30" customHeight="1">
      <c r="A132" s="3" t="s">
        <v>586</v>
      </c>
    </row>
    <row r="133" spans="1:1" ht="30" customHeight="1">
      <c r="A133" s="3" t="s">
        <v>587</v>
      </c>
    </row>
    <row r="134" spans="1:1" ht="30" customHeight="1">
      <c r="A134" s="3" t="s">
        <v>588</v>
      </c>
    </row>
  </sheetData>
  <dataValidations count="7">
    <dataValidation type="list" allowBlank="1" showErrorMessage="1" errorTitle="Not allowed" error="Choose Tender or Private." sqref="C11:C40" xr:uid="{00000000-0002-0000-0800-000000000000}">
      <formula1>"Tender,Private"</formula1>
    </dataValidation>
    <dataValidation type="list" allowBlank="1" showErrorMessage="1" errorTitle="Not allowed" error="Choose Yes or No." sqref="I11:I40" xr:uid="{00000000-0002-0000-0800-000001000000}">
      <formula1>"Yes,No"</formula1>
    </dataValidation>
    <dataValidation type="whole" allowBlank="1" showErrorMessage="1" errorTitle="Number out of range" error="Enter a number between 0 and 365." sqref="G11:G40" xr:uid="{00000000-0002-0000-0800-000002000000}">
      <formula1>0</formula1>
      <formula2>365</formula2>
    </dataValidation>
    <dataValidation type="decimal" operator="greaterThanOrEqual" allowBlank="1" showErrorMessage="1" errorTitle="Number out of range" error="Enter a number of 0 or more." sqref="H11:H40 F122:G127 H85:H114 E85:F114 C48:E77" xr:uid="{00000000-0002-0000-0800-000003000000}">
      <formula1>0</formula1>
    </dataValidation>
    <dataValidation type="decimal" allowBlank="1" showErrorMessage="1" errorTitle="Number out of range" error="Enter a number between 0 and 100." sqref="D85:D114" xr:uid="{00000000-0002-0000-0800-000007000000}">
      <formula1>0</formula1>
      <formula2>100</formula2>
    </dataValidation>
    <dataValidation type="list" allowBlank="1" showErrorMessage="1" errorTitle="Not allowed" error="Choose a guarantee type." sqref="G85:G114" xr:uid="{00000000-0002-0000-0800-00000B000000}">
      <formula1>"Bid bond,Performance bond,Advance payment bond,None"</formula1>
    </dataValidation>
    <dataValidation type="whole" operator="greaterThanOrEqual" allowBlank="1" showErrorMessage="1" errorTitle="Number out of range" error="Enter a number of 0 or more." sqref="B122:E127" xr:uid="{00000000-0002-0000-0800-00000C000000}">
      <formula1>0</formula1>
    </dataValidation>
  </dataValidations>
  <pageMargins left="0.75" right="0.75" top="1" bottom="1" header="0.5" footer="0.5"/>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6374A"/>
  </sheetPr>
  <dimension ref="A1:E158"/>
  <sheetViews>
    <sheetView showGridLines="0" tabSelected="1" workbookViewId="0">
      <pane ySplit="6" topLeftCell="A7" activePane="bottomLeft" state="frozen"/>
      <selection pane="bottomLeft" activeCell="E10" sqref="E10"/>
    </sheetView>
  </sheetViews>
  <sheetFormatPr defaultRowHeight="14.25"/>
  <cols>
    <col min="1" max="1" width="45" customWidth="1"/>
    <col min="2" max="3" width="27" style="54" customWidth="1"/>
    <col min="4" max="4" width="2.75" customWidth="1"/>
    <col min="5" max="5" width="84" customWidth="1"/>
  </cols>
  <sheetData>
    <row r="1" spans="1:5" ht="24" customHeight="1">
      <c r="A1" s="1"/>
      <c r="B1" s="38"/>
      <c r="C1" s="55"/>
      <c r="D1" s="1"/>
      <c r="E1" s="1"/>
    </row>
    <row r="2" spans="1:5" ht="33" customHeight="1">
      <c r="A2" s="2" t="s">
        <v>589</v>
      </c>
      <c r="B2" s="38"/>
      <c r="C2" s="55"/>
      <c r="D2" s="1"/>
      <c r="E2" s="1"/>
    </row>
    <row r="3" spans="1:5" ht="24" customHeight="1">
      <c r="A3" s="1"/>
      <c r="B3" s="38"/>
      <c r="C3" s="55"/>
      <c r="D3" s="1"/>
      <c r="E3" s="1"/>
    </row>
    <row r="4" spans="1:5" ht="24" customHeight="1">
      <c r="A4" s="3" t="s">
        <v>590</v>
      </c>
      <c r="B4" s="38"/>
      <c r="C4" s="55"/>
      <c r="D4" s="1"/>
      <c r="E4" s="1"/>
    </row>
    <row r="5" spans="1:5" ht="24" customHeight="1">
      <c r="A5" s="1"/>
      <c r="B5" s="38"/>
      <c r="C5" s="55"/>
      <c r="D5" s="1"/>
      <c r="E5" s="1"/>
    </row>
    <row r="6" spans="1:5" ht="30.95" customHeight="1">
      <c r="A6" s="5" t="s">
        <v>591</v>
      </c>
      <c r="B6" s="39" t="s">
        <v>541</v>
      </c>
      <c r="C6" s="56" t="s">
        <v>544</v>
      </c>
      <c r="D6" s="1"/>
      <c r="E6" s="1" t="s">
        <v>592</v>
      </c>
    </row>
    <row r="7" spans="1:5" ht="33.950000000000003" customHeight="1">
      <c r="A7" s="28" t="s">
        <v>593</v>
      </c>
      <c r="B7" s="40"/>
      <c r="C7" s="57"/>
      <c r="D7" s="1"/>
      <c r="E7" s="29"/>
    </row>
    <row r="8" spans="1:5" ht="33.950000000000003" customHeight="1">
      <c r="A8" s="27" t="s">
        <v>411</v>
      </c>
      <c r="B8" s="41" t="s">
        <v>346</v>
      </c>
      <c r="C8" s="58" t="s">
        <v>351</v>
      </c>
      <c r="D8" s="1"/>
      <c r="E8" s="29"/>
    </row>
    <row r="9" spans="1:5" ht="33.950000000000003" customHeight="1">
      <c r="A9" s="27" t="s">
        <v>594</v>
      </c>
      <c r="B9" s="41" t="s">
        <v>419</v>
      </c>
      <c r="C9" s="58" t="s">
        <v>424</v>
      </c>
      <c r="D9" s="1"/>
      <c r="E9" s="29"/>
    </row>
    <row r="10" spans="1:5" ht="33.950000000000003" customHeight="1">
      <c r="A10" s="27" t="s">
        <v>483</v>
      </c>
      <c r="B10" s="41" t="s">
        <v>460</v>
      </c>
      <c r="C10" s="58" t="s">
        <v>466</v>
      </c>
      <c r="D10" s="1"/>
      <c r="E10" s="29"/>
    </row>
    <row r="11" spans="1:5" ht="33.950000000000003" customHeight="1">
      <c r="A11" s="27" t="s">
        <v>451</v>
      </c>
      <c r="B11" s="41" t="s">
        <v>461</v>
      </c>
      <c r="C11" s="58" t="s">
        <v>467</v>
      </c>
      <c r="D11" s="1"/>
      <c r="E11" s="29"/>
    </row>
    <row r="12" spans="1:5" ht="33.950000000000003" customHeight="1">
      <c r="A12" s="27" t="s">
        <v>471</v>
      </c>
      <c r="B12" s="41" t="s">
        <v>366</v>
      </c>
      <c r="C12" s="58" t="s">
        <v>371</v>
      </c>
      <c r="D12" s="1"/>
      <c r="E12" s="29"/>
    </row>
    <row r="13" spans="1:5" ht="33.950000000000003" customHeight="1">
      <c r="A13" s="27" t="s">
        <v>595</v>
      </c>
      <c r="B13" s="42">
        <v>46266</v>
      </c>
      <c r="C13" s="59">
        <v>46266</v>
      </c>
      <c r="D13" s="1"/>
      <c r="E13" s="29"/>
    </row>
    <row r="14" spans="1:5" ht="33.950000000000003" customHeight="1">
      <c r="A14" s="27" t="s">
        <v>596</v>
      </c>
      <c r="B14" s="42">
        <v>46295</v>
      </c>
      <c r="C14" s="59">
        <v>46295</v>
      </c>
      <c r="D14" s="1"/>
      <c r="E14" s="29"/>
    </row>
    <row r="15" spans="1:5" ht="33.950000000000003" customHeight="1">
      <c r="A15" s="27" t="s">
        <v>597</v>
      </c>
      <c r="B15" s="42">
        <v>46303</v>
      </c>
      <c r="C15" s="59">
        <v>46303</v>
      </c>
      <c r="D15" s="1"/>
      <c r="E15" s="29"/>
    </row>
    <row r="16" spans="1:5" ht="33.950000000000003" customHeight="1">
      <c r="A16" s="27"/>
      <c r="B16" s="41"/>
      <c r="C16" s="58"/>
      <c r="D16" s="1"/>
      <c r="E16" s="29"/>
    </row>
    <row r="17" spans="1:5" ht="48.95" customHeight="1">
      <c r="A17" s="27" t="s">
        <v>598</v>
      </c>
      <c r="B17" s="43">
        <v>24000</v>
      </c>
      <c r="C17" s="60">
        <v>30000</v>
      </c>
      <c r="D17" s="1"/>
      <c r="E17" s="29" t="s">
        <v>599</v>
      </c>
    </row>
    <row r="18" spans="1:5" ht="33.950000000000003" customHeight="1">
      <c r="A18" s="27" t="s">
        <v>600</v>
      </c>
      <c r="B18" s="43">
        <v>18000</v>
      </c>
      <c r="C18" s="60">
        <v>21000</v>
      </c>
      <c r="D18" s="1"/>
      <c r="E18" s="29" t="s">
        <v>601</v>
      </c>
    </row>
    <row r="19" spans="1:5" ht="33.950000000000003" customHeight="1">
      <c r="A19" s="27" t="s">
        <v>602</v>
      </c>
      <c r="B19" s="43">
        <v>16800</v>
      </c>
      <c r="C19" s="60">
        <v>21000</v>
      </c>
      <c r="D19" s="1"/>
      <c r="E19" s="29" t="s">
        <v>603</v>
      </c>
    </row>
    <row r="20" spans="1:5" ht="33.950000000000003" customHeight="1">
      <c r="A20" s="27" t="s">
        <v>604</v>
      </c>
      <c r="B20" s="43">
        <v>7200</v>
      </c>
      <c r="C20" s="60">
        <v>9000</v>
      </c>
      <c r="D20" s="1"/>
      <c r="E20" s="29" t="s">
        <v>605</v>
      </c>
    </row>
    <row r="21" spans="1:5" ht="48.95" customHeight="1">
      <c r="A21" s="27" t="s">
        <v>606</v>
      </c>
      <c r="B21" s="42">
        <v>46293</v>
      </c>
      <c r="C21" s="59">
        <v>46315</v>
      </c>
      <c r="D21" s="1"/>
      <c r="E21" s="29" t="s">
        <v>607</v>
      </c>
    </row>
    <row r="22" spans="1:5" ht="33.950000000000003" customHeight="1">
      <c r="A22" s="27" t="s">
        <v>608</v>
      </c>
      <c r="B22" s="43">
        <v>80</v>
      </c>
      <c r="C22" s="60">
        <v>12</v>
      </c>
      <c r="D22" s="1"/>
      <c r="E22" s="29" t="s">
        <v>609</v>
      </c>
    </row>
    <row r="23" spans="1:5" ht="33.950000000000003" customHeight="1">
      <c r="A23" s="27" t="s">
        <v>610</v>
      </c>
      <c r="B23" s="43">
        <v>240</v>
      </c>
      <c r="C23" s="60">
        <v>600</v>
      </c>
      <c r="D23" s="1"/>
      <c r="E23" s="29" t="s">
        <v>611</v>
      </c>
    </row>
    <row r="24" spans="1:5" ht="33.950000000000003" customHeight="1">
      <c r="A24" s="27" t="s">
        <v>612</v>
      </c>
      <c r="B24" s="43">
        <v>144</v>
      </c>
      <c r="C24" s="60">
        <v>360</v>
      </c>
      <c r="D24" s="1"/>
      <c r="E24" s="29" t="s">
        <v>613</v>
      </c>
    </row>
    <row r="25" spans="1:5" ht="33.950000000000003" customHeight="1">
      <c r="A25" s="27" t="s">
        <v>614</v>
      </c>
      <c r="B25" s="43">
        <v>3</v>
      </c>
      <c r="C25" s="60">
        <v>50</v>
      </c>
      <c r="D25" s="1"/>
      <c r="E25" s="29" t="s">
        <v>615</v>
      </c>
    </row>
    <row r="26" spans="1:5" ht="33.950000000000003" customHeight="1">
      <c r="A26" s="27" t="s">
        <v>616</v>
      </c>
      <c r="B26" s="43">
        <v>600</v>
      </c>
      <c r="C26" s="60">
        <v>80</v>
      </c>
      <c r="D26" s="1"/>
      <c r="E26" s="29" t="s">
        <v>617</v>
      </c>
    </row>
    <row r="27" spans="1:5" ht="33.950000000000003" customHeight="1">
      <c r="A27" s="27" t="s">
        <v>618</v>
      </c>
      <c r="B27" s="43">
        <v>1.8</v>
      </c>
      <c r="C27" s="60">
        <v>30</v>
      </c>
      <c r="D27" s="1"/>
      <c r="E27" s="29" t="s">
        <v>619</v>
      </c>
    </row>
    <row r="28" spans="1:5" ht="33.950000000000003" customHeight="1">
      <c r="A28" s="27" t="s">
        <v>620</v>
      </c>
      <c r="B28" s="42">
        <v>46752</v>
      </c>
      <c r="C28" s="59">
        <v>46371</v>
      </c>
      <c r="D28" s="1"/>
      <c r="E28" s="29" t="s">
        <v>621</v>
      </c>
    </row>
    <row r="29" spans="1:5" ht="33.950000000000003" customHeight="1">
      <c r="A29" s="27" t="s">
        <v>622</v>
      </c>
      <c r="B29" s="43">
        <v>5</v>
      </c>
      <c r="C29" s="60">
        <v>0.83333333333333337</v>
      </c>
      <c r="D29" s="1"/>
      <c r="E29" s="29" t="s">
        <v>623</v>
      </c>
    </row>
    <row r="30" spans="1:5" ht="33.950000000000003" customHeight="1">
      <c r="A30" s="27"/>
      <c r="B30" s="38"/>
      <c r="C30" s="55"/>
      <c r="D30" s="1"/>
      <c r="E30" s="29"/>
    </row>
    <row r="31" spans="1:5" ht="33.950000000000003" customHeight="1">
      <c r="A31" s="27"/>
      <c r="B31" s="38"/>
      <c r="C31" s="55"/>
      <c r="D31" s="1"/>
      <c r="E31" s="29"/>
    </row>
    <row r="32" spans="1:5" ht="33.950000000000003" customHeight="1">
      <c r="A32" s="28" t="s">
        <v>624</v>
      </c>
      <c r="B32" s="40"/>
      <c r="C32" s="57"/>
      <c r="D32" s="1"/>
      <c r="E32" s="29"/>
    </row>
    <row r="33" spans="1:5" ht="33.950000000000003" customHeight="1">
      <c r="A33" s="27" t="s">
        <v>625</v>
      </c>
      <c r="B33" s="71">
        <v>0.4</v>
      </c>
      <c r="C33" s="55"/>
      <c r="D33" s="1"/>
      <c r="E33" s="29" t="s">
        <v>626</v>
      </c>
    </row>
    <row r="34" spans="1:5" ht="33.950000000000003" customHeight="1">
      <c r="A34" s="27" t="s">
        <v>627</v>
      </c>
      <c r="B34" s="71">
        <v>0.3</v>
      </c>
      <c r="C34" s="55"/>
      <c r="D34" s="1"/>
      <c r="E34" s="29" t="s">
        <v>628</v>
      </c>
    </row>
    <row r="35" spans="1:5" ht="33.950000000000003" customHeight="1">
      <c r="A35" s="27" t="s">
        <v>629</v>
      </c>
      <c r="B35" s="72">
        <v>5</v>
      </c>
      <c r="C35" s="55"/>
      <c r="D35" s="1"/>
      <c r="E35" s="29" t="s">
        <v>630</v>
      </c>
    </row>
    <row r="36" spans="1:5" ht="33.950000000000003" customHeight="1">
      <c r="A36" s="27" t="s">
        <v>631</v>
      </c>
      <c r="B36" s="72">
        <v>30</v>
      </c>
      <c r="C36" s="55"/>
      <c r="D36" s="1"/>
      <c r="E36" s="29" t="s">
        <v>632</v>
      </c>
    </row>
    <row r="37" spans="1:5" ht="33.950000000000003" customHeight="1">
      <c r="A37" s="27"/>
      <c r="B37" s="38"/>
      <c r="C37" s="55"/>
      <c r="D37" s="1"/>
      <c r="E37" s="29"/>
    </row>
    <row r="38" spans="1:5" ht="33.950000000000003" customHeight="1">
      <c r="A38" s="27"/>
      <c r="B38" s="38"/>
      <c r="C38" s="55"/>
      <c r="D38" s="1"/>
      <c r="E38" s="29"/>
    </row>
    <row r="39" spans="1:5" ht="33.950000000000003" customHeight="1">
      <c r="A39" s="27"/>
      <c r="B39" s="38"/>
      <c r="C39" s="55"/>
      <c r="D39" s="1"/>
      <c r="E39" s="29"/>
    </row>
    <row r="40" spans="1:5" ht="33.950000000000003" customHeight="1">
      <c r="A40" s="28" t="s">
        <v>633</v>
      </c>
      <c r="B40" s="40"/>
      <c r="C40" s="57"/>
      <c r="D40" s="1"/>
      <c r="E40" s="29"/>
    </row>
    <row r="41" spans="1:5" ht="33.950000000000003" customHeight="1">
      <c r="A41" s="27" t="s">
        <v>598</v>
      </c>
      <c r="B41" s="44">
        <f>B17</f>
        <v>24000</v>
      </c>
      <c r="C41" s="61">
        <f>C17</f>
        <v>30000</v>
      </c>
      <c r="D41" s="1"/>
      <c r="E41" s="29"/>
    </row>
    <row r="42" spans="1:5" ht="33.950000000000003" customHeight="1">
      <c r="A42" s="30" t="s">
        <v>634</v>
      </c>
      <c r="B42" s="45">
        <f>B17-B18</f>
        <v>6000</v>
      </c>
      <c r="C42" s="62">
        <f>C17-C18</f>
        <v>9000</v>
      </c>
      <c r="D42" s="1"/>
      <c r="E42" s="29" t="s">
        <v>635</v>
      </c>
    </row>
    <row r="43" spans="1:5" ht="33.950000000000003" customHeight="1">
      <c r="A43" s="27" t="s">
        <v>636</v>
      </c>
      <c r="B43" s="46">
        <f>IF(B17=0,"Data missing",B42/B17)</f>
        <v>0.25</v>
      </c>
      <c r="C43" s="63">
        <f>IF(C17=0,"Data missing",C42/C17)</f>
        <v>0.3</v>
      </c>
      <c r="D43" s="1"/>
      <c r="E43" s="29"/>
    </row>
    <row r="44" spans="1:5" ht="33.950000000000003" customHeight="1">
      <c r="A44" s="27" t="s">
        <v>637</v>
      </c>
      <c r="B44" s="44">
        <f>B19</f>
        <v>16800</v>
      </c>
      <c r="C44" s="61">
        <f>C19</f>
        <v>21000</v>
      </c>
      <c r="D44" s="1"/>
      <c r="E44" s="29"/>
    </row>
    <row r="45" spans="1:5" ht="33.950000000000003" customHeight="1">
      <c r="A45" s="27" t="s">
        <v>638</v>
      </c>
      <c r="B45" s="44">
        <f>B20</f>
        <v>7200</v>
      </c>
      <c r="C45" s="61">
        <f>C20</f>
        <v>9000</v>
      </c>
      <c r="D45" s="1"/>
      <c r="E45" s="29"/>
    </row>
    <row r="46" spans="1:5" ht="33.950000000000003" customHeight="1">
      <c r="A46" s="27" t="s">
        <v>639</v>
      </c>
      <c r="B46" s="47">
        <f>IF(B20&gt;0,MAX(0,B15-B21),0)</f>
        <v>10</v>
      </c>
      <c r="C46" s="64">
        <f>IF(C20&gt;0,MAX(0,C15-C21),0)</f>
        <v>0</v>
      </c>
      <c r="D46" s="1"/>
      <c r="E46" s="29" t="s">
        <v>640</v>
      </c>
    </row>
    <row r="47" spans="1:5" ht="33.950000000000003" customHeight="1">
      <c r="A47" s="30" t="s">
        <v>641</v>
      </c>
      <c r="B47" s="45">
        <f>IF(B46&gt;0,B20,0)</f>
        <v>7200</v>
      </c>
      <c r="C47" s="62">
        <f>IF(C46&gt;0,C20,0)</f>
        <v>0</v>
      </c>
      <c r="D47" s="1"/>
      <c r="E47" s="29"/>
    </row>
    <row r="48" spans="1:5" ht="33.950000000000003" customHeight="1">
      <c r="A48" s="27" t="s">
        <v>642</v>
      </c>
      <c r="B48" s="44">
        <f>B26*B27</f>
        <v>1080</v>
      </c>
      <c r="C48" s="61">
        <f>C26*C27</f>
        <v>2400</v>
      </c>
      <c r="D48" s="1"/>
      <c r="E48" s="29"/>
    </row>
    <row r="49" spans="1:5" ht="33.950000000000003" customHeight="1">
      <c r="A49" s="27" t="s">
        <v>643</v>
      </c>
      <c r="B49" s="44">
        <f>IF(B29=0,"No recent use",B26/B29)</f>
        <v>120</v>
      </c>
      <c r="C49" s="61">
        <f>IF(C29=0,"No recent use",C26/C29)</f>
        <v>96</v>
      </c>
      <c r="D49" s="1"/>
      <c r="E49" s="29"/>
    </row>
    <row r="50" spans="1:5" ht="48.95" customHeight="1">
      <c r="A50" s="27" t="s">
        <v>644</v>
      </c>
      <c r="B50" s="47">
        <f>MAX(0,B26-ROUNDDOWN(MAX(0,B28-B15)*B29,0))</f>
        <v>0</v>
      </c>
      <c r="C50" s="64">
        <f>MAX(0,C26-ROUNDDOWN(MAX(0,C28-C15)*C29,0))</f>
        <v>24</v>
      </c>
      <c r="D50" s="1"/>
      <c r="E50" s="29" t="s">
        <v>645</v>
      </c>
    </row>
    <row r="51" spans="1:5" ht="33.950000000000003" customHeight="1">
      <c r="A51" s="30" t="s">
        <v>646</v>
      </c>
      <c r="B51" s="45">
        <f>B50*B27</f>
        <v>0</v>
      </c>
      <c r="C51" s="62">
        <f>C50*C27</f>
        <v>720</v>
      </c>
      <c r="D51" s="1"/>
      <c r="E51" s="29" t="s">
        <v>647</v>
      </c>
    </row>
    <row r="52" spans="1:5" ht="33.950000000000003" customHeight="1">
      <c r="A52" s="27" t="s">
        <v>648</v>
      </c>
      <c r="B52" s="44">
        <f>SUMIFS('Basic monthly'!$C$11:$C$16,'Basic monthly'!$B$11:$B$16,"Equipment", 'Basic monthly'!$A$11:$A$16,B13)</f>
        <v>26000</v>
      </c>
      <c r="C52" s="61">
        <f>SUMIFS('Basic monthly'!$C$11:$C$16,'Basic monthly'!$B$11:$B$16,"Devices", 'Basic monthly'!$A$11:$A$16,C13)</f>
        <v>32000</v>
      </c>
      <c r="D52" s="1"/>
      <c r="E52" s="29" t="s">
        <v>649</v>
      </c>
    </row>
    <row r="53" spans="1:5" ht="33.950000000000003" customHeight="1">
      <c r="A53" s="27" t="s">
        <v>650</v>
      </c>
      <c r="B53" s="46">
        <f>IF(B52=0,"No target",B41/B52)</f>
        <v>0.92307692307692313</v>
      </c>
      <c r="C53" s="63">
        <f>IF(C52=0,"No target",C41/C52)</f>
        <v>0.9375</v>
      </c>
      <c r="D53" s="1"/>
      <c r="E53" s="29"/>
    </row>
    <row r="54" spans="1:5" ht="33.950000000000003" customHeight="1">
      <c r="A54" s="27"/>
      <c r="B54" s="44"/>
      <c r="C54" s="61"/>
      <c r="D54" s="1"/>
      <c r="E54" s="29"/>
    </row>
    <row r="55" spans="1:5" ht="33.950000000000003" customHeight="1">
      <c r="A55" s="28" t="s">
        <v>651</v>
      </c>
      <c r="B55" s="48"/>
      <c r="C55" s="65"/>
      <c r="D55" s="1"/>
      <c r="E55" s="29"/>
    </row>
    <row r="56" spans="1:5" ht="48.95" customHeight="1">
      <c r="A56" s="27" t="s">
        <v>652</v>
      </c>
      <c r="B56" s="44">
        <f>SUMIFS('Advanced monthly'!$G$50:$G$55,'Advanced monthly'!$C$50:$C$55,B9, 'Advanced monthly'!$F$50:$F$55,"Actual")</f>
        <v>600</v>
      </c>
      <c r="C56" s="61">
        <f>SUMIFS('Advanced monthly'!$G$50:$G$55,'Advanced monthly'!$C$50:$C$55,C9, 'Advanced monthly'!$F$50:$F$55,"Actual")</f>
        <v>900</v>
      </c>
      <c r="D56" s="1"/>
      <c r="E56" s="29" t="s">
        <v>653</v>
      </c>
    </row>
    <row r="57" spans="1:5" ht="33.950000000000003" customHeight="1">
      <c r="A57" s="30" t="s">
        <v>654</v>
      </c>
      <c r="B57" s="45">
        <f>B42-B56</f>
        <v>5400</v>
      </c>
      <c r="C57" s="62">
        <f>C42-C56</f>
        <v>8100</v>
      </c>
      <c r="D57" s="1"/>
      <c r="E57" s="29" t="s">
        <v>655</v>
      </c>
    </row>
    <row r="58" spans="1:5" ht="33.950000000000003" customHeight="1">
      <c r="A58" s="27" t="s">
        <v>656</v>
      </c>
      <c r="B58" s="46">
        <f>B57/B41</f>
        <v>0.22500000000000001</v>
      </c>
      <c r="C58" s="63">
        <f>C57/C41</f>
        <v>0.27</v>
      </c>
      <c r="D58" s="1"/>
      <c r="E58" s="29"/>
    </row>
    <row r="59" spans="1:5" ht="33.950000000000003" customHeight="1">
      <c r="A59" s="27" t="s">
        <v>657</v>
      </c>
      <c r="B59" s="44">
        <f>INDEX('Advanced weekly'!$G$11:$G$16,MATCH(B9,'Advanced weekly'!$A$11:$A$16,0))</f>
        <v>24000</v>
      </c>
      <c r="C59" s="61">
        <f>INDEX('Advanced weekly'!$G$11:$G$16,MATCH(C9,'Advanced weekly'!$A$11:$A$16,0))</f>
        <v>30000</v>
      </c>
      <c r="D59" s="1"/>
      <c r="E59" s="29"/>
    </row>
    <row r="60" spans="1:5" ht="33.950000000000003" customHeight="1">
      <c r="A60" s="27" t="s">
        <v>658</v>
      </c>
      <c r="B60" s="44">
        <f>INDEX('Advanced weekly'!$H$11:$H$16,MATCH(B9,'Advanced weekly'!$A$11:$A$16,0))</f>
        <v>18600</v>
      </c>
      <c r="C60" s="61">
        <f>INDEX('Advanced weekly'!$H$11:$H$16,MATCH(C9,'Advanced weekly'!$A$11:$A$16,0))</f>
        <v>21900</v>
      </c>
      <c r="D60" s="1"/>
      <c r="E60" s="29"/>
    </row>
    <row r="61" spans="1:5" ht="33.950000000000003" customHeight="1">
      <c r="A61" s="27" t="s">
        <v>659</v>
      </c>
      <c r="B61" s="44">
        <f>B59-B60</f>
        <v>5400</v>
      </c>
      <c r="C61" s="61">
        <f>C59-C60</f>
        <v>8100</v>
      </c>
      <c r="D61" s="1"/>
      <c r="E61" s="29"/>
    </row>
    <row r="62" spans="1:5" ht="33.950000000000003" customHeight="1">
      <c r="A62" s="27" t="s">
        <v>660</v>
      </c>
      <c r="B62" s="44">
        <f>B18+B56-B60</f>
        <v>0</v>
      </c>
      <c r="C62" s="61">
        <f>C18+C56-C60</f>
        <v>0</v>
      </c>
      <c r="D62" s="1"/>
      <c r="E62" s="29" t="s">
        <v>661</v>
      </c>
    </row>
    <row r="63" spans="1:5" ht="33.950000000000003" customHeight="1">
      <c r="A63" s="27"/>
      <c r="B63" s="44"/>
      <c r="C63" s="61"/>
      <c r="D63" s="1"/>
      <c r="E63" s="29"/>
    </row>
    <row r="64" spans="1:5" ht="33.950000000000003" customHeight="1">
      <c r="A64" s="28" t="s">
        <v>662</v>
      </c>
      <c r="B64" s="48"/>
      <c r="C64" s="65"/>
      <c r="D64" s="1"/>
      <c r="E64" s="29"/>
    </row>
    <row r="65" spans="1:5" ht="33.950000000000003" customHeight="1">
      <c r="A65" s="27" t="s">
        <v>663</v>
      </c>
      <c r="B65" s="47">
        <f>INDEX('Advanced monthly'!$D$37:$D$42,MATCH(B10,'Advanced monthly'!$B$37:$B$42,0))</f>
        <v>120</v>
      </c>
      <c r="C65" s="64">
        <f>INDEX('Advanced monthly'!$D$37:$D$42,MATCH(C10,'Advanced monthly'!$B$37:$B$42,0))</f>
        <v>24</v>
      </c>
      <c r="D65" s="1"/>
      <c r="E65" s="29"/>
    </row>
    <row r="66" spans="1:5" ht="33.950000000000003" customHeight="1">
      <c r="A66" s="27" t="s">
        <v>664</v>
      </c>
      <c r="B66" s="44">
        <f>INDEX('Advanced monthly'!$D$24:$D$29,MATCH(B12,'Advanced monthly'!$B$24:$B$29,0))</f>
        <v>1</v>
      </c>
      <c r="C66" s="61">
        <f>INDEX('Advanced monthly'!$D$24:$D$29,MATCH(C12,'Advanced monthly'!$B$24:$B$29,0))</f>
        <v>1</v>
      </c>
      <c r="D66" s="1"/>
      <c r="E66" s="29"/>
    </row>
    <row r="67" spans="1:5" ht="48.95" customHeight="1">
      <c r="A67" s="27" t="s">
        <v>665</v>
      </c>
      <c r="B67" s="47">
        <f>B65*B66</f>
        <v>120</v>
      </c>
      <c r="C67" s="64">
        <f>C65*C66</f>
        <v>24</v>
      </c>
      <c r="D67" s="1"/>
      <c r="E67" s="29" t="s">
        <v>666</v>
      </c>
    </row>
    <row r="68" spans="1:5" ht="33.950000000000003" customHeight="1">
      <c r="A68" s="27" t="s">
        <v>667</v>
      </c>
      <c r="B68" s="44">
        <f>B67*B25</f>
        <v>360</v>
      </c>
      <c r="C68" s="61">
        <f>C67*C25</f>
        <v>1200</v>
      </c>
      <c r="D68" s="1"/>
      <c r="E68" s="29"/>
    </row>
    <row r="69" spans="1:5" ht="48.95" customHeight="1">
      <c r="A69" s="27" t="s">
        <v>668</v>
      </c>
      <c r="B69" s="47">
        <f>B22</f>
        <v>80</v>
      </c>
      <c r="C69" s="64">
        <f>C22</f>
        <v>12</v>
      </c>
      <c r="D69" s="1"/>
      <c r="E69" s="29" t="s">
        <v>669</v>
      </c>
    </row>
    <row r="70" spans="1:5" ht="33.950000000000003" customHeight="1">
      <c r="A70" s="27" t="s">
        <v>670</v>
      </c>
      <c r="B70" s="44">
        <f>B69*B25</f>
        <v>240</v>
      </c>
      <c r="C70" s="61">
        <f>C69*C25</f>
        <v>600</v>
      </c>
      <c r="D70" s="1"/>
      <c r="E70" s="29"/>
    </row>
    <row r="71" spans="1:5" ht="48.95" customHeight="1">
      <c r="A71" s="30" t="s">
        <v>671</v>
      </c>
      <c r="B71" s="45">
        <f>B68-B70</f>
        <v>120</v>
      </c>
      <c r="C71" s="62">
        <f>C68-C70</f>
        <v>600</v>
      </c>
      <c r="D71" s="1"/>
      <c r="E71" s="29" t="s">
        <v>672</v>
      </c>
    </row>
    <row r="72" spans="1:5" ht="33.950000000000003" customHeight="1">
      <c r="A72" s="27" t="s">
        <v>673</v>
      </c>
      <c r="B72" s="46">
        <f>IF(B67=0,"Data missing",B69/B67)</f>
        <v>0.66666666666666663</v>
      </c>
      <c r="C72" s="63">
        <f>IF(C67=0,"Data missing",C69/C67)</f>
        <v>0.5</v>
      </c>
      <c r="D72" s="1"/>
      <c r="E72" s="29"/>
    </row>
    <row r="73" spans="1:5" ht="33.950000000000003" customHeight="1">
      <c r="A73" s="27" t="s">
        <v>674</v>
      </c>
      <c r="B73" s="47">
        <f>INDEX('Advanced monthly'!$F$37:$F$42,MATCH(B10,'Advanced monthly'!$B$37:$B$42,0))</f>
        <v>16</v>
      </c>
      <c r="C73" s="64">
        <f>INDEX('Advanced monthly'!$F$37:$F$42,MATCH(C10,'Advanced monthly'!$B$37:$B$42,0))</f>
        <v>6</v>
      </c>
      <c r="D73" s="1"/>
      <c r="E73" s="29"/>
    </row>
    <row r="74" spans="1:5" ht="48.95" customHeight="1">
      <c r="A74" s="27" t="s">
        <v>675</v>
      </c>
      <c r="B74" s="44">
        <f>IF(B67=0,"No recent use",B73/(B67/(B14-B13+1)))</f>
        <v>4</v>
      </c>
      <c r="C74" s="61">
        <f>IF(C67=0,"No recent use",C73/(C67/(C14-C13+1)))</f>
        <v>7.5</v>
      </c>
      <c r="D74" s="1"/>
      <c r="E74" s="29" t="s">
        <v>676</v>
      </c>
    </row>
    <row r="75" spans="1:5" ht="48.95" customHeight="1">
      <c r="A75" s="30" t="s">
        <v>124</v>
      </c>
      <c r="B75" s="49">
        <f>IF(INDEX('Advanced monthly'!$E$37:$E$42,MATCH(B10,'Advanced monthly'!$B$37:$B$42,0))=0,"Data missing",INDEX('Advanced monthly'!$D$37:$D$42,MATCH(B10,'Advanced monthly'!$B$37:$B$42,0))/INDEX('Advanced monthly'!$E$37:$E$42,MATCH(B10,'Advanced monthly'!$B$37:$B$42,0)))</f>
        <v>0.75</v>
      </c>
      <c r="C75" s="66">
        <f>IF(INDEX('Advanced monthly'!$E$37:$E$42,MATCH(C10,'Advanced monthly'!$B$37:$B$42,0))=0,"Data missing",INDEX('Advanced monthly'!$D$37:$D$42,MATCH(C10,'Advanced monthly'!$B$37:$B$42,0))/INDEX('Advanced monthly'!$E$37:$E$42,MATCH(C10,'Advanced monthly'!$B$37:$B$42,0)))</f>
        <v>0.8</v>
      </c>
      <c r="D75" s="1"/>
      <c r="E75" s="29" t="s">
        <v>677</v>
      </c>
    </row>
    <row r="76" spans="1:5" ht="48.95" customHeight="1">
      <c r="A76" s="30" t="s">
        <v>678</v>
      </c>
      <c r="B76" s="45">
        <f>MAX(0,B71)*$B$33*12</f>
        <v>576</v>
      </c>
      <c r="C76" s="62">
        <f>MAX(0,C71)*$B$33*12</f>
        <v>2880</v>
      </c>
      <c r="D76" s="1"/>
      <c r="E76" s="29" t="s">
        <v>679</v>
      </c>
    </row>
    <row r="77" spans="1:5" ht="33.950000000000003" customHeight="1">
      <c r="A77" s="30" t="s">
        <v>680</v>
      </c>
      <c r="B77" s="45">
        <f>B76*$B$34</f>
        <v>172.79999999999998</v>
      </c>
      <c r="C77" s="62">
        <f>C76*$B$34</f>
        <v>864</v>
      </c>
      <c r="D77" s="1"/>
      <c r="E77" s="29"/>
    </row>
    <row r="78" spans="1:5" ht="33.950000000000003" customHeight="1">
      <c r="A78" s="27"/>
      <c r="B78" s="38"/>
      <c r="C78" s="55"/>
      <c r="D78" s="1"/>
      <c r="E78" s="29"/>
    </row>
    <row r="79" spans="1:5" ht="33.950000000000003" customHeight="1">
      <c r="A79" s="28" t="s">
        <v>681</v>
      </c>
      <c r="B79" s="40"/>
      <c r="C79" s="57"/>
      <c r="D79" s="1"/>
      <c r="E79" s="29"/>
    </row>
    <row r="80" spans="1:5" ht="48.95" customHeight="1">
      <c r="A80" s="27" t="s">
        <v>682</v>
      </c>
      <c r="B80" s="38" t="str">
        <f>IF(INDEX('Advanced monthly'!$H$11:$H$16,MATCH(B10,'Advanced monthly'!$A$11:$A$16,0))="No","No contract",IF(INDEX('Advanced monthly'!$H$11:$H$16,MATCH(B10,'Advanced monthly'!$A$11:$A$16,0))&lt;&gt;"Yes","Data missing",IF(OR(INDEX('Advanced monthly'!$I$11:$I$16,MATCH(B10,'Advanced monthly'!$A$11:$A$16,0))=0,INDEX('Advanced monthly'!$J$11:$J$16,MATCH(B10,'Advanced monthly'!$A$11:$A$16,0))=0),"Data missing",IF(INDEX('Advanced monthly'!$I$11:$I$16,MATCH(B10,'Advanced monthly'!$A$11:$A$16,0))&gt;B15,"Not started",IF(INDEX('Advanced monthly'!$J$11:$J$16,MATCH(B10,'Advanced monthly'!$A$11:$A$16,0))&lt;B15,"Expired",IF(INDEX('Advanced monthly'!$J$11:$J$16,MATCH(B10,'Advanced monthly'!$A$11:$A$16,0))&lt;=B15+$B$36,"Renewal due","Active"))))))</f>
        <v>Active</v>
      </c>
      <c r="C80" s="55" t="str">
        <f>IF(INDEX('Advanced monthly'!$H$11:$H$16,MATCH(C10,'Advanced monthly'!$A$11:$A$16,0))="No","No contract",IF(INDEX('Advanced monthly'!$H$11:$H$16,MATCH(C10,'Advanced monthly'!$A$11:$A$16,0))&lt;&gt;"Yes","Data missing",IF(OR(INDEX('Advanced monthly'!$I$11:$I$16,MATCH(C10,'Advanced monthly'!$A$11:$A$16,0))=0,INDEX('Advanced monthly'!$J$11:$J$16,MATCH(C10,'Advanced monthly'!$A$11:$A$16,0))=0),"Data missing",IF(INDEX('Advanced monthly'!$I$11:$I$16,MATCH(C10,'Advanced monthly'!$A$11:$A$16,0))&gt;C15,"Not started",IF(INDEX('Advanced monthly'!$J$11:$J$16,MATCH(C10,'Advanced monthly'!$A$11:$A$16,0))&lt;C15,"Expired",IF(INDEX('Advanced monthly'!$J$11:$J$16,MATCH(C10,'Advanced monthly'!$A$11:$A$16,0))&lt;=C15+$B$36,"Renewal due","Active"))))))</f>
        <v>No contract</v>
      </c>
      <c r="D80" s="1"/>
      <c r="E80" s="29"/>
    </row>
    <row r="81" spans="1:5" ht="33.950000000000003" customHeight="1">
      <c r="A81" s="27" t="s">
        <v>683</v>
      </c>
      <c r="B81" s="38">
        <f>IF(B80="Data missing","Data missing",IF(OR(B80="Active",B80="Renewal due"),1,0))</f>
        <v>1</v>
      </c>
      <c r="C81" s="55">
        <f>IF(C80="Data missing","Data missing",IF(OR(C80="Active",C80="Renewal due"),1,0))</f>
        <v>0</v>
      </c>
      <c r="D81" s="1"/>
      <c r="E81" s="29"/>
    </row>
    <row r="82" spans="1:5" ht="33.950000000000003" customHeight="1">
      <c r="A82" s="27" t="s">
        <v>684</v>
      </c>
      <c r="B82" s="38" t="str">
        <f>IF(INDEX('Advanced monthly'!$D$11:$D$16,MATCH(B10,'Advanced monthly'!$A$11:$A$16,0))=0,"Data missing",IF(DATE(YEAR(INDEX('Advanced monthly'!$D$11:$D$16,MATCH(B10,'Advanced monthly'!$A$11:$A$16,0)))+$B$35,MONTH(INDEX('Advanced monthly'!$D$11:$D$16,MATCH(B10,'Advanced monthly'!$A$11:$A$16,0))),DAY(INDEX('Advanced monthly'!$D$11:$D$16,MATCH(B10,'Advanced monthly'!$A$11:$A$16,0))))&lt;=B15,"Review age","Below threshold"))</f>
        <v>Below threshold</v>
      </c>
      <c r="C82" s="55" t="str">
        <f>IF(INDEX('Advanced monthly'!$D$11:$D$16,MATCH(C10,'Advanced monthly'!$A$11:$A$16,0))=0,"Data missing",IF(DATE(YEAR(INDEX('Advanced monthly'!$D$11:$D$16,MATCH(C10,'Advanced monthly'!$A$11:$A$16,0)))+$B$35,MONTH(INDEX('Advanced monthly'!$D$11:$D$16,MATCH(C10,'Advanced monthly'!$A$11:$A$16,0))),DAY(INDEX('Advanced monthly'!$D$11:$D$16,MATCH(C10,'Advanced monthly'!$A$11:$A$16,0))))&lt;=C15,"Review age","Below threshold"))</f>
        <v>Review age</v>
      </c>
      <c r="D82" s="1"/>
      <c r="E82" s="29"/>
    </row>
    <row r="83" spans="1:5" ht="33.950000000000003" customHeight="1">
      <c r="A83" s="27"/>
      <c r="B83" s="38"/>
      <c r="C83" s="55"/>
      <c r="D83" s="1"/>
      <c r="E83" s="29"/>
    </row>
    <row r="84" spans="1:5" ht="33.950000000000003" customHeight="1">
      <c r="A84" s="27" t="s">
        <v>685</v>
      </c>
      <c r="B84" s="46">
        <f>IF(COUNT(B81:C81)&lt;2,"Data missing",SUM(B81:C81)/2)</f>
        <v>0.5</v>
      </c>
      <c r="C84" s="55"/>
      <c r="D84" s="1"/>
      <c r="E84" s="29" t="s">
        <v>686</v>
      </c>
    </row>
    <row r="85" spans="1:5" ht="33.950000000000003" customHeight="1">
      <c r="A85" s="27"/>
      <c r="B85" s="38"/>
      <c r="C85" s="55"/>
      <c r="D85" s="1"/>
      <c r="E85" s="29"/>
    </row>
    <row r="86" spans="1:5" ht="33.950000000000003" customHeight="1">
      <c r="A86" s="28" t="s">
        <v>687</v>
      </c>
      <c r="B86" s="40" t="s">
        <v>688</v>
      </c>
      <c r="C86" s="57" t="s">
        <v>689</v>
      </c>
      <c r="D86" s="1"/>
      <c r="E86" s="29"/>
    </row>
    <row r="87" spans="1:5" ht="33.950000000000003" customHeight="1">
      <c r="A87" s="27" t="s">
        <v>518</v>
      </c>
      <c r="B87" s="38">
        <f>'Advanced monthly'!G63</f>
        <v>84</v>
      </c>
      <c r="C87" s="55">
        <f>'Advanced monthly'!E63</f>
        <v>95</v>
      </c>
      <c r="D87" s="1"/>
      <c r="E87" s="29" t="s">
        <v>690</v>
      </c>
    </row>
    <row r="88" spans="1:5" ht="33.950000000000003" customHeight="1">
      <c r="A88" s="27" t="s">
        <v>691</v>
      </c>
      <c r="B88" s="38">
        <f>'Advanced monthly'!G64</f>
        <v>76</v>
      </c>
      <c r="C88" s="55">
        <f>'Advanced monthly'!E64</f>
        <v>98</v>
      </c>
      <c r="D88" s="1"/>
      <c r="E88" s="29" t="s">
        <v>692</v>
      </c>
    </row>
    <row r="89" spans="1:5" ht="24" customHeight="1">
      <c r="A89" s="1"/>
      <c r="B89" s="38"/>
      <c r="C89" s="55"/>
      <c r="D89" s="1"/>
      <c r="E89" s="1"/>
    </row>
    <row r="90" spans="1:5" ht="24" customHeight="1">
      <c r="A90" s="1"/>
      <c r="B90" s="38"/>
      <c r="C90" s="55"/>
      <c r="D90" s="1"/>
      <c r="E90" s="1"/>
    </row>
    <row r="91" spans="1:5" ht="24" customHeight="1">
      <c r="A91" s="4" t="s">
        <v>693</v>
      </c>
      <c r="B91" s="38"/>
      <c r="C91" s="55"/>
      <c r="D91" s="1"/>
      <c r="E91" s="1"/>
    </row>
    <row r="92" spans="1:5" ht="24" customHeight="1">
      <c r="A92" s="4" t="s">
        <v>694</v>
      </c>
      <c r="B92" s="38"/>
      <c r="C92" s="55"/>
      <c r="D92" s="1"/>
      <c r="E92" s="1"/>
    </row>
    <row r="93" spans="1:5" ht="24" customHeight="1">
      <c r="A93" s="1"/>
      <c r="B93" s="38"/>
      <c r="C93" s="55"/>
      <c r="D93" s="1"/>
      <c r="E93" s="1"/>
    </row>
    <row r="94" spans="1:5" ht="24" customHeight="1">
      <c r="A94" s="1"/>
      <c r="B94" s="38"/>
      <c r="C94" s="55"/>
      <c r="D94" s="1"/>
      <c r="E94" s="1"/>
    </row>
    <row r="95" spans="1:5" ht="24" customHeight="1">
      <c r="A95" s="28" t="s">
        <v>695</v>
      </c>
      <c r="B95" s="40" t="s">
        <v>541</v>
      </c>
      <c r="C95" s="57" t="s">
        <v>547</v>
      </c>
      <c r="D95" s="1"/>
      <c r="E95" s="1"/>
    </row>
    <row r="96" spans="1:5" ht="33.950000000000003" customHeight="1">
      <c r="A96" s="27" t="s">
        <v>411</v>
      </c>
      <c r="B96" s="43" t="s">
        <v>346</v>
      </c>
      <c r="C96" s="60" t="s">
        <v>546</v>
      </c>
      <c r="D96" s="1"/>
      <c r="E96" s="29" t="s">
        <v>696</v>
      </c>
    </row>
    <row r="97" spans="1:5" ht="33.950000000000003" customHeight="1">
      <c r="A97" s="27" t="s">
        <v>534</v>
      </c>
      <c r="B97" s="44" t="str">
        <f>INDEX(Accounts!$C$11:$C$40,MATCH(B96,Accounts!$A$11:$A$40,0))</f>
        <v>Tender</v>
      </c>
      <c r="C97" s="61" t="str">
        <f>INDEX(Accounts!$C$11:$C$40,MATCH(C96,Accounts!$A$11:$A$40,0))</f>
        <v>Private</v>
      </c>
      <c r="D97" s="1"/>
      <c r="E97" s="29" t="s">
        <v>697</v>
      </c>
    </row>
    <row r="98" spans="1:5" ht="33.950000000000003" customHeight="1">
      <c r="A98" s="27" t="s">
        <v>698</v>
      </c>
      <c r="B98" s="42">
        <v>46023</v>
      </c>
      <c r="C98" s="59">
        <f>B98</f>
        <v>46023</v>
      </c>
      <c r="D98" s="1"/>
      <c r="E98" s="29" t="s">
        <v>699</v>
      </c>
    </row>
    <row r="99" spans="1:5" ht="33.950000000000003" customHeight="1">
      <c r="A99" s="27" t="s">
        <v>700</v>
      </c>
      <c r="B99" s="42">
        <v>46295</v>
      </c>
      <c r="C99" s="59">
        <f>B99</f>
        <v>46295</v>
      </c>
      <c r="D99" s="1"/>
      <c r="E99" s="29" t="s">
        <v>701</v>
      </c>
    </row>
    <row r="100" spans="1:5" ht="33.950000000000003" customHeight="1">
      <c r="A100" s="27" t="s">
        <v>702</v>
      </c>
      <c r="B100" s="47">
        <f>B99-B98+1</f>
        <v>273</v>
      </c>
      <c r="C100" s="64">
        <f>C99-C98+1</f>
        <v>273</v>
      </c>
      <c r="D100" s="1"/>
      <c r="E100" s="29" t="s">
        <v>703</v>
      </c>
    </row>
    <row r="101" spans="1:5" ht="33.950000000000003" customHeight="1">
      <c r="A101" s="27" t="s">
        <v>704</v>
      </c>
      <c r="B101" s="50">
        <v>120000</v>
      </c>
      <c r="C101" s="67">
        <v>60000</v>
      </c>
      <c r="D101" s="1"/>
      <c r="E101" s="29" t="s">
        <v>705</v>
      </c>
    </row>
    <row r="102" spans="1:5" ht="33.950000000000003" customHeight="1">
      <c r="A102" s="27" t="s">
        <v>706</v>
      </c>
      <c r="B102" s="50">
        <v>94800</v>
      </c>
      <c r="C102" s="67">
        <v>36600</v>
      </c>
      <c r="D102" s="1"/>
      <c r="E102" s="29" t="s">
        <v>707</v>
      </c>
    </row>
    <row r="103" spans="1:5" ht="33.950000000000003" customHeight="1">
      <c r="A103" s="27" t="s">
        <v>708</v>
      </c>
      <c r="B103" s="50">
        <v>3600</v>
      </c>
      <c r="C103" s="67">
        <v>1800</v>
      </c>
      <c r="D103" s="1"/>
      <c r="E103" s="29" t="s">
        <v>709</v>
      </c>
    </row>
    <row r="104" spans="1:5" ht="33.950000000000003" customHeight="1">
      <c r="A104" s="27" t="s">
        <v>710</v>
      </c>
      <c r="B104" s="50">
        <v>90000</v>
      </c>
      <c r="C104" s="67">
        <v>57000</v>
      </c>
      <c r="D104" s="1"/>
      <c r="E104" s="29" t="s">
        <v>711</v>
      </c>
    </row>
    <row r="105" spans="1:5" ht="33.950000000000003" customHeight="1">
      <c r="A105" s="27" t="s">
        <v>604</v>
      </c>
      <c r="B105" s="50">
        <v>30000</v>
      </c>
      <c r="C105" s="67">
        <v>3000</v>
      </c>
      <c r="D105" s="1"/>
      <c r="E105" s="29" t="s">
        <v>712</v>
      </c>
    </row>
    <row r="106" spans="1:5" ht="33.950000000000003" customHeight="1">
      <c r="A106" s="27" t="s">
        <v>713</v>
      </c>
      <c r="B106" s="47">
        <f>B46</f>
        <v>10</v>
      </c>
      <c r="C106" s="64">
        <v>0</v>
      </c>
      <c r="D106" s="1"/>
      <c r="E106" s="29" t="s">
        <v>714</v>
      </c>
    </row>
    <row r="107" spans="1:5" ht="33.950000000000003" customHeight="1">
      <c r="A107" s="27" t="s">
        <v>641</v>
      </c>
      <c r="B107" s="51">
        <f>B47</f>
        <v>7200</v>
      </c>
      <c r="C107" s="68">
        <v>0</v>
      </c>
      <c r="D107" s="1"/>
      <c r="E107" s="29" t="s">
        <v>715</v>
      </c>
    </row>
    <row r="108" spans="1:5" ht="33.950000000000003" customHeight="1">
      <c r="A108" s="27" t="s">
        <v>716</v>
      </c>
      <c r="B108" s="42">
        <v>46285</v>
      </c>
      <c r="C108" s="59">
        <v>46254</v>
      </c>
      <c r="D108" s="1"/>
      <c r="E108" s="29" t="s">
        <v>717</v>
      </c>
    </row>
    <row r="109" spans="1:5" ht="33.950000000000003" customHeight="1">
      <c r="A109" s="27" t="s">
        <v>718</v>
      </c>
      <c r="B109" s="52">
        <f>B15</f>
        <v>46303</v>
      </c>
      <c r="C109" s="69">
        <f>C15</f>
        <v>46303</v>
      </c>
      <c r="E109" s="29" t="s">
        <v>719</v>
      </c>
    </row>
    <row r="110" spans="1:5" ht="33.950000000000003" customHeight="1">
      <c r="A110" s="27" t="s">
        <v>539</v>
      </c>
      <c r="B110" s="51">
        <f>INDEX(Accounts!$H$11:$H$40,MATCH(B96,Accounts!$A$11:$A$40,0))</f>
        <v>40000</v>
      </c>
      <c r="C110" s="68">
        <f>INDEX(Accounts!$H$11:$H$40,MATCH(C96,Accounts!$A$11:$A$40,0))</f>
        <v>10000</v>
      </c>
      <c r="E110" s="29" t="s">
        <v>720</v>
      </c>
    </row>
    <row r="111" spans="1:5" ht="33.950000000000003" customHeight="1">
      <c r="A111" s="27" t="s">
        <v>721</v>
      </c>
      <c r="B111" s="51">
        <f>SUMIFS(Accounts!$C$48:$C$77,Accounts!$B$48:$B$77,B96,Accounts!$A$48:$A$77,B13)</f>
        <v>110000</v>
      </c>
      <c r="C111" s="68">
        <f>SUMIFS(Accounts!$C$48:$C$77,Accounts!$B$48:$B$77,C96,Accounts!$A$48:$A$77,C13)</f>
        <v>65000</v>
      </c>
      <c r="E111" s="29" t="s">
        <v>722</v>
      </c>
    </row>
    <row r="112" spans="1:5" ht="33.950000000000003" customHeight="1">
      <c r="A112" s="27" t="s">
        <v>723</v>
      </c>
      <c r="B112" s="51">
        <f>SUMIFS(Accounts!$D$48:$D$77,Accounts!$B$48:$B$77,B96,Accounts!$A$48:$A$77,B13)</f>
        <v>100000</v>
      </c>
      <c r="C112" s="68">
        <f>SUMIFS(Accounts!$D$48:$D$77,Accounts!$B$48:$B$77,C96,Accounts!$A$48:$A$77,C13)</f>
        <v>66000</v>
      </c>
      <c r="E112" s="29" t="s">
        <v>724</v>
      </c>
    </row>
    <row r="113" spans="1:5" ht="33.950000000000003" customHeight="1">
      <c r="A113" s="27" t="s">
        <v>725</v>
      </c>
      <c r="B113" s="51">
        <f>SUMIFS(Accounts!$E$48:$E$77,Accounts!$B$48:$B$77,B96,Accounts!$A$48:$A$77,B13)</f>
        <v>22000</v>
      </c>
      <c r="C113" s="68">
        <f>SUMIFS(Accounts!$E$48:$E$77,Accounts!$B$48:$B$77,C96,Accounts!$A$48:$A$77,C13)</f>
        <v>25000</v>
      </c>
      <c r="E113" s="29" t="s">
        <v>726</v>
      </c>
    </row>
    <row r="114" spans="1:5" ht="33.950000000000003" customHeight="1">
      <c r="A114" s="27" t="s">
        <v>634</v>
      </c>
      <c r="B114" s="51">
        <f>B101-B102</f>
        <v>25200</v>
      </c>
      <c r="C114" s="68">
        <f>C101-C102</f>
        <v>23400</v>
      </c>
      <c r="E114" s="29" t="s">
        <v>727</v>
      </c>
    </row>
    <row r="115" spans="1:5" ht="33.950000000000003" customHeight="1">
      <c r="A115" s="27" t="s">
        <v>636</v>
      </c>
      <c r="B115" s="46">
        <f>IF(B101=0,"Data missing",B114/B101)</f>
        <v>0.21</v>
      </c>
      <c r="C115" s="63">
        <f>IF(C101=0,"Data missing",C114/C101)</f>
        <v>0.39</v>
      </c>
      <c r="E115" s="29" t="s">
        <v>728</v>
      </c>
    </row>
    <row r="116" spans="1:5" ht="33.950000000000003" customHeight="1">
      <c r="A116" s="27" t="s">
        <v>729</v>
      </c>
      <c r="B116" s="51">
        <f>B114-B103</f>
        <v>21600</v>
      </c>
      <c r="C116" s="68">
        <f>C114-C103</f>
        <v>21600</v>
      </c>
      <c r="E116" s="29" t="s">
        <v>730</v>
      </c>
    </row>
    <row r="117" spans="1:5" ht="33.950000000000003" customHeight="1">
      <c r="A117" s="27" t="s">
        <v>731</v>
      </c>
      <c r="B117" s="46">
        <f>IF(B112&lt;=0,"Data missing",B101/B112-1)</f>
        <v>0.19999999999999996</v>
      </c>
      <c r="C117" s="63">
        <f>IF(C112&lt;=0,"Data missing",C101/C112-1)</f>
        <v>-9.0909090909090939E-2</v>
      </c>
      <c r="E117" s="29" t="s">
        <v>732</v>
      </c>
    </row>
    <row r="118" spans="1:5" ht="33.950000000000003" customHeight="1">
      <c r="A118" s="27" t="s">
        <v>733</v>
      </c>
      <c r="B118" s="46">
        <f>IF(B113&lt;=0,"Data missing",B114/B113-1)</f>
        <v>0.1454545454545455</v>
      </c>
      <c r="C118" s="63">
        <f>IF(C113&lt;=0,"Data missing",C114/C113-1)</f>
        <v>-6.3999999999999946E-2</v>
      </c>
    </row>
    <row r="119" spans="1:5" ht="33.950000000000003" customHeight="1">
      <c r="A119" s="27" t="s">
        <v>734</v>
      </c>
      <c r="B119" s="46">
        <f>IF(B111&lt;=0,"No target",B101/B111)</f>
        <v>1.0909090909090908</v>
      </c>
      <c r="C119" s="63">
        <f>IF(C111&lt;=0,"No target",C101/C111)</f>
        <v>0.92307692307692313</v>
      </c>
      <c r="E119" s="29" t="s">
        <v>735</v>
      </c>
    </row>
    <row r="120" spans="1:5" ht="33.950000000000003" customHeight="1">
      <c r="A120" s="27" t="s">
        <v>736</v>
      </c>
      <c r="B120" s="53">
        <f>IF(B101&lt;=0,"Data missing",B105/B101*B100)</f>
        <v>68.25</v>
      </c>
      <c r="C120" s="70">
        <f>IF(C101&lt;=0,"Data missing",C105/C101*C100)</f>
        <v>13.65</v>
      </c>
      <c r="E120" s="29" t="s">
        <v>737</v>
      </c>
    </row>
    <row r="121" spans="1:5" ht="33.950000000000003" customHeight="1">
      <c r="A121" s="27" t="s">
        <v>738</v>
      </c>
      <c r="B121" s="46">
        <f>IF(B110&lt;=0,"Data missing",B105/B110)</f>
        <v>0.75</v>
      </c>
      <c r="C121" s="63">
        <f>IF(C110&lt;=0,"Data missing",C105/C110)</f>
        <v>0.3</v>
      </c>
      <c r="E121" s="29" t="s">
        <v>739</v>
      </c>
    </row>
    <row r="122" spans="1:5" ht="33.950000000000003" customHeight="1">
      <c r="A122" s="27" t="s">
        <v>740</v>
      </c>
      <c r="B122" s="47">
        <f>MAX(0,B109-B108)</f>
        <v>18</v>
      </c>
      <c r="C122" s="64">
        <f>MAX(0,C109-C108)</f>
        <v>49</v>
      </c>
      <c r="E122" s="29" t="s">
        <v>741</v>
      </c>
    </row>
    <row r="123" spans="1:5" ht="33.950000000000003" customHeight="1">
      <c r="A123" s="27" t="s">
        <v>742</v>
      </c>
      <c r="B123" s="46">
        <f>B72</f>
        <v>0.66666666666666663</v>
      </c>
      <c r="C123" s="60" t="s">
        <v>743</v>
      </c>
      <c r="E123" s="29" t="s">
        <v>744</v>
      </c>
    </row>
    <row r="124" spans="1:5" ht="33.950000000000003" customHeight="1">
      <c r="A124" s="27" t="s">
        <v>745</v>
      </c>
      <c r="B124" s="44" t="str">
        <f>IF(OR(B106&gt;90,AND(ISNUMBER(B121),B121&gt;0.9)),"At risk",IF(OR(B107&gt;0,AND(ISNUMBER(B119),B119&lt;0.85),AND(ISNUMBER(B117),B117&lt;-0.1),AND(ISNUMBER(B123),B123&lt;0.7),AND(B97="Private",B122&gt;45)),"Watch","Healthy"))</f>
        <v>Watch</v>
      </c>
      <c r="C124" s="61" t="str">
        <f>IF(OR(C106&gt;90,AND(ISNUMBER(C121),C121&gt;0.9)),"At risk",IF(OR(C107&gt;0,AND(ISNUMBER(C119),C119&lt;0.85),AND(ISNUMBER(C117),C117&lt;-0.1),AND(ISNUMBER(C123),C123&lt;0.7),AND(C97="Private",C122&gt;45)),"Watch","Healthy"))</f>
        <v>Watch</v>
      </c>
      <c r="E124" s="29" t="s">
        <v>746</v>
      </c>
    </row>
    <row r="127" spans="1:5" ht="15.75">
      <c r="A127" s="28" t="s">
        <v>747</v>
      </c>
      <c r="B127" s="40" t="s">
        <v>420</v>
      </c>
      <c r="C127" s="57" t="s">
        <v>548</v>
      </c>
    </row>
    <row r="128" spans="1:5" ht="33.950000000000003" customHeight="1">
      <c r="A128" s="27" t="s">
        <v>748</v>
      </c>
      <c r="B128" s="47">
        <f>COUNTIF($B$97:$C$97,B127)</f>
        <v>1</v>
      </c>
      <c r="C128" s="64">
        <f>COUNTIF($B$97:$C$97,C127)</f>
        <v>1</v>
      </c>
      <c r="E128" s="29" t="s">
        <v>749</v>
      </c>
    </row>
    <row r="129" spans="1:5" ht="33.950000000000003" customHeight="1">
      <c r="A129" s="27" t="s">
        <v>750</v>
      </c>
      <c r="B129" s="51">
        <f>SUMIF($B$97:$C$97,B127,$B$101:$C$101)</f>
        <v>120000</v>
      </c>
      <c r="C129" s="68">
        <f>SUMIF($B$97:$C$97,C127,$B$101:$C$101)</f>
        <v>60000</v>
      </c>
    </row>
    <row r="130" spans="1:5" ht="33.950000000000003" customHeight="1">
      <c r="A130" s="27" t="s">
        <v>751</v>
      </c>
      <c r="B130" s="51">
        <f>SUMIF($B$97:$C$97,B127,$B$114:$C$114)</f>
        <v>25200</v>
      </c>
      <c r="C130" s="68">
        <f>SUMIF($B$97:$C$97,C127,$B$114:$C$114)</f>
        <v>23400</v>
      </c>
    </row>
    <row r="131" spans="1:5" ht="33.950000000000003" customHeight="1">
      <c r="A131" s="27" t="s">
        <v>636</v>
      </c>
      <c r="B131" s="46">
        <f>IF(B129=0,"Data missing",B130/B129)</f>
        <v>0.21</v>
      </c>
      <c r="C131" s="63">
        <f>IF(C129=0,"Data missing",C130/C129)</f>
        <v>0.39</v>
      </c>
      <c r="E131" s="29" t="s">
        <v>752</v>
      </c>
    </row>
    <row r="132" spans="1:5" ht="33.950000000000003" customHeight="1">
      <c r="A132" s="27" t="s">
        <v>753</v>
      </c>
      <c r="B132" s="46">
        <f>IF(SUM($B$130:$C$130)=0,"Data missing",B130/SUM($B$130:$C$130))</f>
        <v>0.51851851851851849</v>
      </c>
      <c r="C132" s="63">
        <f>IF(SUM($B$130:$C$130)=0,"Data missing",C130/SUM($B$130:$C$130))</f>
        <v>0.48148148148148145</v>
      </c>
      <c r="E132" s="29" t="s">
        <v>754</v>
      </c>
    </row>
    <row r="133" spans="1:5" ht="33.950000000000003" customHeight="1">
      <c r="A133" s="27" t="s">
        <v>755</v>
      </c>
      <c r="B133" s="51">
        <f>SUMIF($B$97:$C$97,B127,$B$105:$C$105)</f>
        <v>30000</v>
      </c>
      <c r="C133" s="68">
        <f>SUMIF($B$97:$C$97,C127,$B$105:$C$105)</f>
        <v>3000</v>
      </c>
    </row>
    <row r="134" spans="1:5" ht="33.950000000000003" customHeight="1">
      <c r="A134" s="27" t="s">
        <v>756</v>
      </c>
      <c r="B134" s="51">
        <f>SUMIF($B$97:$C$97,B127,$B$107:$C$107)</f>
        <v>7200</v>
      </c>
      <c r="C134" s="68">
        <f>SUMIF($B$97:$C$97,C127,$B$107:$C$107)</f>
        <v>0</v>
      </c>
    </row>
    <row r="135" spans="1:5" ht="33.950000000000003" customHeight="1">
      <c r="A135" s="27" t="s">
        <v>736</v>
      </c>
      <c r="B135" s="53">
        <f>IF(B129=0,"Data missing",B133/B129*$B$100)</f>
        <v>68.25</v>
      </c>
      <c r="C135" s="70">
        <f>IF(C129=0,"Data missing",C133/C129*$B$100)</f>
        <v>13.65</v>
      </c>
    </row>
    <row r="136" spans="1:5" ht="33.950000000000003" customHeight="1">
      <c r="A136" s="27" t="s">
        <v>731</v>
      </c>
      <c r="B136" s="46">
        <f>IF(SUMIF($B$97:$C$97,B127,$B$112:$C$112)&lt;=0,"Data missing",B129/SUMIF($B$97:$C$97,B127,$B$112:$C$112)-1)</f>
        <v>0.19999999999999996</v>
      </c>
      <c r="C136" s="63">
        <f>IF(SUMIF($B$97:$C$97,C127,$B$112:$C$112)&lt;=0,"Data missing",C129/SUMIF($B$97:$C$97,C127,$B$112:$C$112)-1)</f>
        <v>-9.0909090909090939E-2</v>
      </c>
      <c r="E136" s="29" t="s">
        <v>757</v>
      </c>
    </row>
    <row r="137" spans="1:5">
      <c r="A137" s="27" t="s">
        <v>758</v>
      </c>
      <c r="B137" s="44" t="str">
        <f>IF(AND(B129+C129=SUM($B$101:$C$101),B130+C130=SUM($B$114:$C$114),B133+C133=SUM($B$105:$C$105)),"OK","Check")</f>
        <v>OK</v>
      </c>
      <c r="E137" s="29" t="s">
        <v>759</v>
      </c>
    </row>
    <row r="140" spans="1:5" ht="15.75">
      <c r="A140" s="28" t="s">
        <v>760</v>
      </c>
      <c r="B140" s="40" t="s">
        <v>761</v>
      </c>
      <c r="C140" s="57" t="s">
        <v>762</v>
      </c>
    </row>
    <row r="141" spans="1:5" ht="33.950000000000003" customHeight="1">
      <c r="A141" s="27" t="s">
        <v>763</v>
      </c>
      <c r="B141" s="44" t="str">
        <f>B9</f>
        <v>DEMO-T-A</v>
      </c>
      <c r="C141" s="61" t="str">
        <f>C9</f>
        <v>DEMO-T-B</v>
      </c>
      <c r="E141" s="29" t="s">
        <v>764</v>
      </c>
    </row>
    <row r="142" spans="1:5" ht="33.950000000000003" customHeight="1">
      <c r="A142" s="27" t="s">
        <v>765</v>
      </c>
      <c r="B142" s="51">
        <f>B59</f>
        <v>24000</v>
      </c>
      <c r="C142" s="68">
        <f>C59</f>
        <v>30000</v>
      </c>
      <c r="E142" s="29" t="s">
        <v>766</v>
      </c>
    </row>
    <row r="143" spans="1:5" ht="33.950000000000003" customHeight="1">
      <c r="A143" s="27" t="s">
        <v>564</v>
      </c>
      <c r="B143" s="47">
        <f>INDEX(Accounts!$D$85:$D$114,MATCH(B141,Accounts!$A$85:$A$114,0))</f>
        <v>100</v>
      </c>
      <c r="C143" s="64">
        <f>INDEX(Accounts!$D$85:$D$114,MATCH(C141,Accounts!$A$85:$A$114,0))</f>
        <v>100</v>
      </c>
      <c r="E143" s="29" t="s">
        <v>767</v>
      </c>
    </row>
    <row r="144" spans="1:5" ht="33.950000000000003" customHeight="1">
      <c r="A144" s="27" t="s">
        <v>768</v>
      </c>
      <c r="B144" s="51">
        <f>B142*(1-B143/100)</f>
        <v>0</v>
      </c>
      <c r="C144" s="68">
        <f>C142*(1-C143/100)</f>
        <v>0</v>
      </c>
      <c r="E144" s="29" t="s">
        <v>769</v>
      </c>
    </row>
    <row r="145" spans="1:5" ht="33.950000000000003" customHeight="1">
      <c r="A145" s="27" t="s">
        <v>565</v>
      </c>
      <c r="B145" s="51">
        <f>INDEX(Accounts!$E$85:$E$114,MATCH(B141,Accounts!$A$85:$A$114,0))</f>
        <v>24000</v>
      </c>
      <c r="C145" s="68">
        <f>INDEX(Accounts!$E$85:$E$114,MATCH(C141,Accounts!$A$85:$A$114,0))</f>
        <v>30000</v>
      </c>
      <c r="E145" s="29" t="s">
        <v>767</v>
      </c>
    </row>
    <row r="146" spans="1:5" ht="33.950000000000003" customHeight="1">
      <c r="A146" s="27" t="s">
        <v>770</v>
      </c>
      <c r="B146" s="51">
        <f>B142*B143/100-B145</f>
        <v>0</v>
      </c>
      <c r="C146" s="68">
        <f>C142*C143/100-C145</f>
        <v>0</v>
      </c>
      <c r="E146" s="29" t="s">
        <v>771</v>
      </c>
    </row>
    <row r="147" spans="1:5" ht="33.950000000000003" customHeight="1">
      <c r="A147" s="27" t="s">
        <v>566</v>
      </c>
      <c r="B147" s="51">
        <f>INDEX(Accounts!$F$85:$F$114,MATCH(B141,Accounts!$A$85:$A$114,0))</f>
        <v>16800</v>
      </c>
      <c r="C147" s="68">
        <f>INDEX(Accounts!$F$85:$F$114,MATCH(C141,Accounts!$A$85:$A$114,0))</f>
        <v>21000</v>
      </c>
      <c r="E147" s="29" t="s">
        <v>767</v>
      </c>
    </row>
    <row r="148" spans="1:5" ht="33.950000000000003" customHeight="1">
      <c r="A148" s="27" t="s">
        <v>772</v>
      </c>
      <c r="B148" s="51">
        <f>B145-B147</f>
        <v>7200</v>
      </c>
      <c r="C148" s="68">
        <f>C145-C147</f>
        <v>9000</v>
      </c>
      <c r="E148" s="29" t="s">
        <v>773</v>
      </c>
    </row>
    <row r="149" spans="1:5" ht="33.950000000000003" customHeight="1">
      <c r="A149" s="27" t="s">
        <v>774</v>
      </c>
      <c r="B149" s="44" t="str">
        <f>IF(ROUND(B148-B45,2)=0,"OK","Check")</f>
        <v>OK</v>
      </c>
      <c r="C149" s="61" t="str">
        <f>IF(ROUND(C148-C45,2)=0,"OK","Check")</f>
        <v>OK</v>
      </c>
      <c r="E149" s="29" t="s">
        <v>775</v>
      </c>
    </row>
    <row r="150" spans="1:5" ht="33.950000000000003" customHeight="1">
      <c r="A150" s="27" t="s">
        <v>569</v>
      </c>
      <c r="B150" s="52">
        <f>INDEX(Accounts!$I$85:$I$114,MATCH(B141,Accounts!$A$85:$A$114,0))</f>
        <v>46366</v>
      </c>
      <c r="C150" s="69">
        <f>INDEX(Accounts!$I$85:$I$114,MATCH(C141,Accounts!$A$85:$A$114,0))</f>
        <v>46446</v>
      </c>
      <c r="E150" s="29" t="s">
        <v>767</v>
      </c>
    </row>
    <row r="151" spans="1:5" ht="33.950000000000003" customHeight="1">
      <c r="A151" s="27" t="s">
        <v>776</v>
      </c>
      <c r="B151" s="47">
        <f>B150-B15</f>
        <v>63</v>
      </c>
      <c r="C151" s="64">
        <f>C150-C15</f>
        <v>143</v>
      </c>
      <c r="E151" s="29" t="s">
        <v>777</v>
      </c>
    </row>
    <row r="153" spans="1:5" ht="15.75">
      <c r="A153" s="28" t="s">
        <v>778</v>
      </c>
      <c r="B153" s="40" t="s">
        <v>779</v>
      </c>
      <c r="C153" s="57"/>
    </row>
    <row r="154" spans="1:5" ht="33.950000000000003" customHeight="1">
      <c r="A154" s="27" t="s">
        <v>780</v>
      </c>
      <c r="B154" s="46">
        <f>IF(Accounts!$C$122+Accounts!$D$122=0,"Data missing",Accounts!$C$122/(Accounts!$C$122+Accounts!$D$122))</f>
        <v>0.54545454545454541</v>
      </c>
      <c r="E154" s="29" t="s">
        <v>781</v>
      </c>
    </row>
    <row r="155" spans="1:5" ht="33.950000000000003" customHeight="1">
      <c r="A155" s="27" t="s">
        <v>782</v>
      </c>
      <c r="B155" s="51">
        <f>IF(Accounts!$C$122=0,"Data missing",Accounts!$G$122/Accounts!$C$122)</f>
        <v>275000</v>
      </c>
      <c r="E155" s="29" t="s">
        <v>783</v>
      </c>
    </row>
    <row r="156" spans="1:5" ht="33.950000000000003" customHeight="1">
      <c r="A156" s="27" t="s">
        <v>784</v>
      </c>
      <c r="B156" s="44" t="str">
        <f>Accounts!$H$122</f>
        <v>OK</v>
      </c>
      <c r="E156" s="29" t="s">
        <v>785</v>
      </c>
    </row>
    <row r="158" spans="1:5">
      <c r="A158" s="4" t="s">
        <v>786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Report map</vt:lpstr>
      <vt:lpstr>ERP requirements</vt:lpstr>
      <vt:lpstr>Imports and predictions</vt:lpstr>
      <vt:lpstr>Basic weekly</vt:lpstr>
      <vt:lpstr>Basic monthly</vt:lpstr>
      <vt:lpstr>Advanced weekly</vt:lpstr>
      <vt:lpstr>Advanced monthly</vt:lpstr>
      <vt:lpstr>Accounts</vt:lpstr>
      <vt:lpstr>Worked 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shadi obeidat</cp:lastModifiedBy>
  <dcterms:created xsi:type="dcterms:W3CDTF">2026-10-09T05:16:02Z</dcterms:created>
  <dcterms:modified xsi:type="dcterms:W3CDTF">2026-10-12T07:26:02Z</dcterms:modified>
</cp:coreProperties>
</file>